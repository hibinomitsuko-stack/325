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設定・結論" sheetId="1" state="visible" r:id="rId3"/>
    <sheet name="30日スケジュール" sheetId="2" state="visible" r:id="rId4"/>
    <sheet name="構造パターン" sheetId="3" state="visible" r:id="rId5"/>
    <sheet name="分析まとめ" sheetId="4" state="visible" r:id="rId6"/>
    <sheet name="競合バズ分析" sheetId="5" state="visible" r:id="rId7"/>
    <sheet name="生々しいネタ" sheetId="6" state="visible" r:id="rId8"/>
    <sheet name="浅い悩み・深い悩み" sheetId="7" state="visible" r:id="rId9"/>
    <sheet name="恋愛・復縁判定" sheetId="8" state="visible" r:id="rId10"/>
    <sheet name="バズ投稿100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<sst xmlns="http://schemas.openxmlformats.org/spreadsheetml/2006/main" count="1603" uniqueCount="1108">
  <si>
    <r>
      <rPr>
        <b val="true"/>
        <sz val="14"/>
        <color rgb="FF5B3A6B"/>
        <rFont val="Arial"/>
        <family val="0"/>
        <charset val="1"/>
      </rPr>
      <t xml:space="preserve">Threads 30</t>
    </r>
    <r>
      <rPr>
        <b val="true"/>
        <sz val="14"/>
        <color rgb="FF5B3A6B"/>
        <rFont val="WenQuanYi Zen Hei"/>
        <family val="2"/>
      </rPr>
      <t xml:space="preserve">日投稿設計｜倫子（</t>
    </r>
    <r>
      <rPr>
        <b val="true"/>
        <sz val="14"/>
        <color rgb="FF5B3A6B"/>
        <rFont val="Arial"/>
        <family val="0"/>
        <charset val="1"/>
      </rPr>
      <t xml:space="preserve">@rinko_mind</t>
    </r>
    <r>
      <rPr>
        <b val="true"/>
        <sz val="14"/>
        <color rgb="FF5B3A6B"/>
        <rFont val="WenQuanYi Zen Hei"/>
        <family val="2"/>
      </rPr>
      <t xml:space="preserve">）</t>
    </r>
  </si>
  <si>
    <r>
      <rPr>
        <sz val="9"/>
        <color rgb="FF666666"/>
        <rFont val="WenQuanYi Zen Hei"/>
        <family val="2"/>
      </rPr>
      <t xml:space="preserve">作成日 </t>
    </r>
    <r>
      <rPr>
        <sz val="9"/>
        <color rgb="FF666666"/>
        <rFont val="Arial"/>
        <family val="0"/>
        <charset val="1"/>
      </rPr>
      <t xml:space="preserve">2026-10-12</t>
    </r>
    <r>
      <rPr>
        <sz val="9"/>
        <color rgb="FF666666"/>
        <rFont val="WenQuanYi Zen Hei"/>
        <family val="2"/>
      </rPr>
      <t xml:space="preserve">｜</t>
    </r>
    <r>
      <rPr>
        <sz val="9"/>
        <color rgb="FF666666"/>
        <rFont val="Arial"/>
        <family val="0"/>
        <charset val="1"/>
      </rPr>
      <t xml:space="preserve">ChatGPT</t>
    </r>
    <r>
      <rPr>
        <sz val="9"/>
        <color rgb="FF666666"/>
        <rFont val="WenQuanYi Zen Hei"/>
        <family val="2"/>
      </rPr>
      <t xml:space="preserve">分析（競合レポート・</t>
    </r>
    <r>
      <rPr>
        <sz val="9"/>
        <color rgb="FF666666"/>
        <rFont val="Arial"/>
        <family val="0"/>
        <charset val="1"/>
      </rPr>
      <t xml:space="preserve">100</t>
    </r>
    <r>
      <rPr>
        <sz val="9"/>
        <color rgb="FF666666"/>
        <rFont val="WenQuanYi Zen Hei"/>
        <family val="2"/>
      </rPr>
      <t xml:space="preserve">投稿案）＋自己分析（壁打ちメモ）を統合</t>
    </r>
  </si>
  <si>
    <t xml:space="preserve">投稿開始日（ここを変えると全日付が連動）</t>
  </si>
  <si>
    <r>
      <rPr>
        <sz val="9"/>
        <color rgb="FF666666"/>
        <rFont val="WenQuanYi Zen Hei"/>
        <family val="2"/>
      </rPr>
      <t xml:space="preserve">← 黄色セル＝入力欄。</t>
    </r>
    <r>
      <rPr>
        <sz val="9"/>
        <color rgb="FF666666"/>
        <rFont val="Arial"/>
        <family val="0"/>
        <charset val="1"/>
      </rPr>
      <t xml:space="preserve">30</t>
    </r>
    <r>
      <rPr>
        <sz val="9"/>
        <color rgb="FF666666"/>
        <rFont val="WenQuanYi Zen Hei"/>
        <family val="2"/>
      </rPr>
      <t xml:space="preserve">日スケジュールの「結果」列も黄色セルに数値を入れてください。</t>
    </r>
  </si>
  <si>
    <t xml:space="preserve">■ コンセプト（結論）</t>
  </si>
  <si>
    <t xml:space="preserve">ポジション</t>
  </si>
  <si>
    <t xml:space="preserve">「潜在意識を教える人」ではなく「ポジティブが効かなかった超ネガティブな人に、本音を吐く→現実に戻る→望む世界を描く“順番”を教える人」</t>
  </si>
  <si>
    <t xml:space="preserve">キャッチ</t>
  </si>
  <si>
    <t xml:space="preserve">ポジティブになれない人専用｜本音を吐いて、現実に戻り、望む世界を描くノート術</t>
  </si>
  <si>
    <t xml:space="preserve">倫子式の順番</t>
  </si>
  <si>
    <r>
      <rPr>
        <sz val="10"/>
        <color rgb="FF000000"/>
        <rFont val="WenQuanYi Zen Hei"/>
        <family val="2"/>
      </rPr>
      <t xml:space="preserve">①毒出し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分（吐く）→②一番強い感情を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語で囲む→③事実と脚本を分ける→④「ある」を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つ（払えた・食べた・眠れた）→⑤本当はどうしてほしかった？→⑥五感で妄想→⑦今日の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ミリ行動</t>
    </r>
  </si>
  <si>
    <t xml:space="preserve">名称</t>
  </si>
  <si>
    <r>
      <rPr>
        <sz val="10"/>
        <color rgb="FF000000"/>
        <rFont val="WenQuanYi Zen Hei"/>
        <family val="2"/>
      </rPr>
      <t xml:space="preserve">「シネシネワーク」は体験談の中だけで使用。表の名前は「毒出し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分」「誰にも見せない本音ノート」に統一（誤解・配信制限リスク回避）</t>
    </r>
  </si>
  <si>
    <t xml:space="preserve">プロフィール案</t>
  </si>
  <si>
    <r>
      <rPr>
        <sz val="10"/>
        <color rgb="FF000000"/>
        <rFont val="WenQuanYi Zen Hei"/>
        <family val="2"/>
      </rPr>
      <t xml:space="preserve">ポジティブになれない人専用｜本音を吐いて、現実に戻り、望む世界を描くノート術｜投資詐欺</t>
    </r>
    <r>
      <rPr>
        <sz val="10"/>
        <color rgb="FF000000"/>
        <rFont val="Arial"/>
        <family val="0"/>
        <charset val="1"/>
      </rPr>
      <t xml:space="preserve">700</t>
    </r>
    <r>
      <rPr>
        <sz val="10"/>
        <color rgb="FF000000"/>
        <rFont val="WenQuanYi Zen Hei"/>
        <family val="2"/>
      </rPr>
      <t xml:space="preserve">万・占い依存・脳梗塞を経て「大丈夫なふり」を卒業｜個別相談（伴走型）はリンクから</t>
    </r>
  </si>
  <si>
    <t xml:space="preserve">固定投稿</t>
  </si>
  <si>
    <r>
      <rPr>
        <sz val="10"/>
        <color rgb="FF000000"/>
        <rFont val="Arial"/>
        <family val="0"/>
        <charset val="1"/>
      </rPr>
      <t xml:space="preserve">Day3/14</t>
    </r>
    <r>
      <rPr>
        <sz val="10"/>
        <color rgb="FF000000"/>
        <rFont val="WenQuanYi Zen Hei"/>
        <family val="2"/>
      </rPr>
      <t xml:space="preserve">の「毒出し→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分本音ノート」をまとめ直し、「全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ステップ」＋個別相談リンクを置く（各投稿の「プロフ誘導」の受け皿）</t>
    </r>
  </si>
  <si>
    <t xml:space="preserve">ゴール</t>
  </si>
  <si>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WenQuanYi Zen Hei"/>
        <family val="2"/>
      </rPr>
      <t xml:space="preserve">日で認知（閲覧・フォロー）→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日で信頼（保存・</t>
    </r>
    <r>
      <rPr>
        <sz val="10"/>
        <color rgb="FF000000"/>
        <rFont val="Arial"/>
        <family val="0"/>
        <charset val="1"/>
      </rPr>
      <t xml:space="preserve">DM</t>
    </r>
    <r>
      <rPr>
        <sz val="10"/>
        <color rgb="FF000000"/>
        <rFont val="WenQuanYi Zen Hei"/>
        <family val="2"/>
      </rPr>
      <t xml:space="preserve">）→</t>
    </r>
    <r>
      <rPr>
        <sz val="10"/>
        <color rgb="FF000000"/>
        <rFont val="Arial"/>
        <family val="0"/>
        <charset val="1"/>
      </rPr>
      <t xml:space="preserve">Day30</t>
    </r>
    <r>
      <rPr>
        <sz val="10"/>
        <color rgb="FF000000"/>
        <rFont val="WenQuanYi Zen Hei"/>
        <family val="2"/>
      </rPr>
      <t xml:space="preserve">で個別相談（伴走型コーチング）へ</t>
    </r>
  </si>
  <si>
    <r>
      <rPr>
        <b val="true"/>
        <sz val="12"/>
        <color rgb="FF5B3A6B"/>
        <rFont val="WenQuanYi Zen Hei"/>
        <family val="2"/>
      </rPr>
      <t xml:space="preserve">■ 投稿比率（</t>
    </r>
    <r>
      <rPr>
        <b val="true"/>
        <sz val="12"/>
        <color rgb="FF5B3A6B"/>
        <rFont val="Arial"/>
        <family val="0"/>
        <charset val="1"/>
      </rPr>
      <t xml:space="preserve">30</t>
    </r>
    <r>
      <rPr>
        <b val="true"/>
        <sz val="12"/>
        <color rgb="FF5B3A6B"/>
        <rFont val="WenQuanYi Zen Hei"/>
        <family val="2"/>
      </rPr>
      <t xml:space="preserve">日スケジュールから自動集計）</t>
    </r>
  </si>
  <si>
    <t xml:space="preserve">柱</t>
  </si>
  <si>
    <t xml:space="preserve">本数</t>
  </si>
  <si>
    <t xml:space="preserve">比率</t>
  </si>
  <si>
    <t xml:space="preserve">目標比率</t>
  </si>
  <si>
    <t xml:space="preserve">本音暴露</t>
  </si>
  <si>
    <t xml:space="preserve">界隈への違和感</t>
  </si>
  <si>
    <t xml:space="preserve">ノート実演</t>
  </si>
  <si>
    <t xml:space="preserve">妄想への橋渡し</t>
  </si>
  <si>
    <t xml:space="preserve">恋愛（依存）</t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</si>
  <si>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（恋愛は本音暴露枠から振替）</t>
    </r>
  </si>
  <si>
    <t xml:space="preserve">合計</t>
  </si>
  <si>
    <r>
      <rPr>
        <b val="true"/>
        <sz val="12"/>
        <color rgb="FF5B3A6B"/>
        <rFont val="WenQuanYi Zen Hei"/>
        <family val="2"/>
      </rPr>
      <t xml:space="preserve">■ 成果サマリー（</t>
    </r>
    <r>
      <rPr>
        <b val="true"/>
        <sz val="12"/>
        <color rgb="FF5B3A6B"/>
        <rFont val="Arial"/>
        <family val="0"/>
        <charset val="1"/>
      </rPr>
      <t xml:space="preserve">30</t>
    </r>
    <r>
      <rPr>
        <b val="true"/>
        <sz val="12"/>
        <color rgb="FF5B3A6B"/>
        <rFont val="WenQuanYi Zen Hei"/>
        <family val="2"/>
      </rPr>
      <t xml:space="preserve">日スケジュールの結果欄から自動集計）</t>
    </r>
  </si>
  <si>
    <t xml:space="preserve">期間</t>
  </si>
  <si>
    <t xml:space="preserve">総閲覧</t>
  </si>
  <si>
    <t xml:space="preserve">総いいね</t>
  </si>
  <si>
    <t xml:space="preserve">総返信</t>
  </si>
  <si>
    <t xml:space="preserve">フォロー増</t>
  </si>
  <si>
    <t xml:space="preserve">プロフ遷移</t>
  </si>
  <si>
    <t xml:space="preserve">反応率</t>
  </si>
  <si>
    <t xml:space="preserve">フォロー転換率</t>
  </si>
  <si>
    <r>
      <rPr>
        <sz val="10"/>
        <color rgb="FF000000"/>
        <rFont val="Arial"/>
        <family val="0"/>
        <charset val="1"/>
      </rPr>
      <t xml:space="preserve">Day1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WenQuanYi Zen Hei"/>
        <family val="2"/>
      </rPr>
      <t xml:space="preserve">（認知・最優先）</t>
    </r>
  </si>
  <si>
    <r>
      <rPr>
        <sz val="10"/>
        <color rgb="FF000000"/>
        <rFont val="Arial"/>
        <family val="0"/>
        <charset val="1"/>
      </rPr>
      <t xml:space="preserve">Day15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（信頼・導線）</t>
    </r>
  </si>
  <si>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日合計</t>
    </r>
  </si>
  <si>
    <t xml:space="preserve">■ シートの使い方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</si>
  <si>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日スケジュール」：毎日の投稿文（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投稿目＋スレッド続き）、冒頭</t>
    </r>
    <r>
      <rPr>
        <sz val="10"/>
        <color rgb="FF000000"/>
        <rFont val="Arial"/>
        <family val="0"/>
        <charset val="1"/>
      </rPr>
      <t xml:space="preserve">A/B/C</t>
    </r>
    <r>
      <rPr>
        <sz val="10"/>
        <color rgb="FF000000"/>
        <rFont val="WenQuanYi Zen Hei"/>
        <family val="2"/>
      </rPr>
      <t xml:space="preserve">（衝撃の事実・常識破壊・場面告白）。</t>
    </r>
    <r>
      <rPr>
        <sz val="10"/>
        <color rgb="FF000000"/>
        <rFont val="Arial"/>
        <family val="0"/>
        <charset val="1"/>
      </rPr>
      <t xml:space="preserve">Day1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WenQuanYi Zen Hei"/>
        <family val="2"/>
      </rPr>
      <t xml:space="preserve">はピンク＝最優先期間。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</si>
  <si>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WenQuanYi Zen Hei"/>
        <family val="2"/>
      </rPr>
      <t xml:space="preserve">冒頭は</t>
    </r>
    <r>
      <rPr>
        <sz val="10"/>
        <color rgb="FF000000"/>
        <rFont val="Arial"/>
        <family val="0"/>
        <charset val="1"/>
      </rPr>
      <t xml:space="preserve">A→B→C</t>
    </r>
    <r>
      <rPr>
        <sz val="10"/>
        <color rgb="FF000000"/>
        <rFont val="WenQuanYi Zen Hei"/>
        <family val="2"/>
      </rPr>
      <t xml:space="preserve">のどれか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行目に置き換えるだけで使えます。迷ったら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（衝撃の事実）。同じテーマの再投稿時に別案を使って比較。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</si>
  <si>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投稿後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時間の数値を黄色セル（閲覧・いいね・返信・リポスト・フォロー増・プロフ遷移）に入力→反応率が自動計算されます。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</si>
  <si>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「構造パターン」：標準構造と、プロフィールリンクのクリックが見込める別構造（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）の文章の順番。</t>
    </r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</si>
  <si>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WenQuanYi Zen Hei"/>
        <family val="2"/>
      </rPr>
      <t xml:space="preserve">「バズ投稿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」：前回案と重複しない新しい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本（冒頭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案ずつ）。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日目以降はここから補充。</t>
    </r>
  </si>
  <si>
    <r>
      <rPr>
        <sz val="10"/>
        <color rgb="FF000000"/>
        <rFont val="Arial"/>
        <family val="0"/>
        <charset val="1"/>
      </rPr>
      <t xml:space="preserve">6. </t>
    </r>
    <r>
      <rPr>
        <sz val="10"/>
        <color rgb="FF000000"/>
        <rFont val="WenQuanYi Zen Hei"/>
        <family val="2"/>
      </rPr>
      <t xml:space="preserve">「分析まとめ」「競合バズ分析」「生々しいネタ」「浅い悩み・深い悩み」「恋愛・復縁判定」：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分析を整理したもの。</t>
    </r>
  </si>
  <si>
    <r>
      <rPr>
        <sz val="10"/>
        <color rgb="FF000000"/>
        <rFont val="WenQuanYi Zen Hei"/>
        <family val="2"/>
      </rPr>
      <t xml:space="preserve">※ 競合の閲覧数は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レポート（</t>
    </r>
    <r>
      <rPr>
        <sz val="10"/>
        <color rgb="FF000000"/>
        <rFont val="Arial"/>
        <family val="0"/>
        <charset val="1"/>
      </rPr>
      <t xml:space="preserve">2026-10-12</t>
    </r>
    <r>
      <rPr>
        <sz val="10"/>
        <color rgb="FF000000"/>
        <rFont val="WenQuanYi Zen Hei"/>
        <family val="2"/>
      </rPr>
      <t xml:space="preserve">調査時点）の記載値で、本シート作成時に再計測はしていません。</t>
    </r>
  </si>
  <si>
    <r>
      <rPr>
        <b val="true"/>
        <sz val="14"/>
        <color rgb="FF5B3A6B"/>
        <rFont val="Arial"/>
        <family val="0"/>
        <charset val="1"/>
      </rPr>
      <t xml:space="preserve">30</t>
    </r>
    <r>
      <rPr>
        <b val="true"/>
        <sz val="14"/>
        <color rgb="FF5B3A6B"/>
        <rFont val="WenQuanYi Zen Hei"/>
        <family val="2"/>
      </rPr>
      <t xml:space="preserve">日投稿スケジュール（</t>
    </r>
    <r>
      <rPr>
        <b val="true"/>
        <sz val="14"/>
        <color rgb="FF5B3A6B"/>
        <rFont val="Arial"/>
        <family val="0"/>
        <charset val="1"/>
      </rPr>
      <t xml:space="preserve">Day1</t>
    </r>
    <r>
      <rPr>
        <b val="true"/>
        <sz val="14"/>
        <color rgb="FF5B3A6B"/>
        <rFont val="WenQuanYi Zen Hei"/>
        <family val="2"/>
      </rPr>
      <t xml:space="preserve">〜</t>
    </r>
    <r>
      <rPr>
        <b val="true"/>
        <sz val="14"/>
        <color rgb="FF5B3A6B"/>
        <rFont val="Arial"/>
        <family val="0"/>
        <charset val="1"/>
      </rPr>
      <t xml:space="preserve">14</t>
    </r>
    <r>
      <rPr>
        <b val="true"/>
        <sz val="14"/>
        <color rgb="FF5B3A6B"/>
        <rFont val="WenQuanYi Zen Hei"/>
        <family val="2"/>
      </rPr>
      <t xml:space="preserve">＝最優先・認知期／</t>
    </r>
    <r>
      <rPr>
        <b val="true"/>
        <sz val="14"/>
        <color rgb="FF5B3A6B"/>
        <rFont val="Arial"/>
        <family val="0"/>
        <charset val="1"/>
      </rPr>
      <t xml:space="preserve">Day15</t>
    </r>
    <r>
      <rPr>
        <b val="true"/>
        <sz val="14"/>
        <color rgb="FF5B3A6B"/>
        <rFont val="WenQuanYi Zen Hei"/>
        <family val="2"/>
      </rPr>
      <t xml:space="preserve">〜</t>
    </r>
    <r>
      <rPr>
        <b val="true"/>
        <sz val="14"/>
        <color rgb="FF5B3A6B"/>
        <rFont val="Arial"/>
        <family val="0"/>
        <charset val="1"/>
      </rPr>
      <t xml:space="preserve">30</t>
    </r>
    <r>
      <rPr>
        <b val="true"/>
        <sz val="14"/>
        <color rgb="FF5B3A6B"/>
        <rFont val="WenQuanYi Zen Hei"/>
        <family val="2"/>
      </rPr>
      <t xml:space="preserve">＝信頼・導線期）</t>
    </r>
  </si>
  <si>
    <r>
      <rPr>
        <sz val="9"/>
        <color rgb="FF666666"/>
        <rFont val="WenQuanYi Zen Hei"/>
        <family val="2"/>
      </rPr>
      <t xml:space="preserve">冒頭</t>
    </r>
    <r>
      <rPr>
        <sz val="9"/>
        <color rgb="FF666666"/>
        <rFont val="Arial"/>
        <family val="0"/>
        <charset val="1"/>
      </rPr>
      <t xml:space="preserve">A</t>
    </r>
    <r>
      <rPr>
        <sz val="9"/>
        <color rgb="FF666666"/>
        <rFont val="WenQuanYi Zen Hei"/>
        <family val="2"/>
      </rPr>
      <t xml:space="preserve">＝衝撃の事実／</t>
    </r>
    <r>
      <rPr>
        <sz val="9"/>
        <color rgb="FF666666"/>
        <rFont val="Arial"/>
        <family val="0"/>
        <charset val="1"/>
      </rPr>
      <t xml:space="preserve">B</t>
    </r>
    <r>
      <rPr>
        <sz val="9"/>
        <color rgb="FF666666"/>
        <rFont val="WenQuanYi Zen Hei"/>
        <family val="2"/>
      </rPr>
      <t xml:space="preserve">＝常識破壊／</t>
    </r>
    <r>
      <rPr>
        <sz val="9"/>
        <color rgb="FF666666"/>
        <rFont val="Arial"/>
        <family val="0"/>
        <charset val="1"/>
      </rPr>
      <t xml:space="preserve">C</t>
    </r>
    <r>
      <rPr>
        <sz val="9"/>
        <color rgb="FF666666"/>
        <rFont val="WenQuanYi Zen Hei"/>
        <family val="2"/>
      </rPr>
      <t xml:space="preserve">＝場面・告白。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行目だけ差し替えて使用。黄色＝投稿後に入力。</t>
    </r>
  </si>
  <si>
    <t xml:space="preserve">Day</t>
  </si>
  <si>
    <t xml:space="preserve">日付</t>
  </si>
  <si>
    <t xml:space="preserve">時間</t>
  </si>
  <si>
    <t xml:space="preserve">悩みの深さ</t>
  </si>
  <si>
    <t xml:space="preserve">テーマ</t>
  </si>
  <si>
    <r>
      <rPr>
        <b val="true"/>
        <sz val="10"/>
        <color rgb="FFFFFFFF"/>
        <rFont val="WenQuanYi Zen Hei"/>
        <family val="2"/>
      </rPr>
      <t xml:space="preserve">冒頭</t>
    </r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WenQuanYi Zen Hei"/>
        <family val="2"/>
      </rPr>
      <t xml:space="preserve">（衝撃の事実）</t>
    </r>
  </si>
  <si>
    <r>
      <rPr>
        <b val="true"/>
        <sz val="10"/>
        <color rgb="FFFFFFFF"/>
        <rFont val="WenQuanYi Zen Hei"/>
        <family val="2"/>
      </rPr>
      <t xml:space="preserve">冒頭</t>
    </r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（常識破壊）</t>
    </r>
  </si>
  <si>
    <r>
      <rPr>
        <b val="true"/>
        <sz val="10"/>
        <color rgb="FFFFFFFF"/>
        <rFont val="WenQuanYi Zen Hei"/>
        <family val="2"/>
      </rPr>
      <t xml:space="preserve">冒頭</t>
    </r>
    <r>
      <rPr>
        <b val="true"/>
        <sz val="10"/>
        <color rgb="FFFFFFFF"/>
        <rFont val="Arial"/>
        <family val="0"/>
        <charset val="1"/>
      </rPr>
      <t xml:space="preserve">C</t>
    </r>
    <r>
      <rPr>
        <b val="true"/>
        <sz val="10"/>
        <color rgb="FFFFFFFF"/>
        <rFont val="WenQuanYi Zen Hei"/>
        <family val="2"/>
      </rPr>
      <t xml:space="preserve">（場面・告白）</t>
    </r>
  </si>
  <si>
    <r>
      <rPr>
        <b val="true"/>
        <sz val="10"/>
        <color rgb="FFFFFFFF"/>
        <rFont val="WenQuanYi Zen Hei"/>
        <family val="2"/>
      </rPr>
      <t xml:space="preserve">本文①（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投稿目・冒頭の後に続ける）</t>
    </r>
  </si>
  <si>
    <t xml:space="preserve">本文②（スレッド続き）</t>
  </si>
  <si>
    <r>
      <rPr>
        <b val="true"/>
        <sz val="10"/>
        <color rgb="FFFFFFFF"/>
        <rFont val="WenQuanYi Zen Hei"/>
        <family val="2"/>
      </rPr>
      <t xml:space="preserve">コメント誘導（最後の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行）</t>
    </r>
  </si>
  <si>
    <t xml:space="preserve">プロフ誘導</t>
  </si>
  <si>
    <t xml:space="preserve">構造</t>
  </si>
  <si>
    <t xml:space="preserve">参考にした競合・実績</t>
  </si>
  <si>
    <t xml:space="preserve">検証ポイント</t>
  </si>
  <si>
    <t xml:space="preserve">閲覧</t>
  </si>
  <si>
    <t xml:space="preserve">いいね</t>
  </si>
  <si>
    <t xml:space="preserve">返信</t>
  </si>
  <si>
    <t xml:space="preserve">リポスト</t>
  </si>
  <si>
    <t xml:space="preserve">メモ</t>
  </si>
  <si>
    <t xml:space="preserve">21:00</t>
  </si>
  <si>
    <t xml:space="preserve">浅→深</t>
  </si>
  <si>
    <t xml:space="preserve">アファメーションが効かなかった</t>
  </si>
  <si>
    <r>
      <rPr>
        <sz val="10"/>
        <color rgb="FF000000"/>
        <rFont val="WenQuanYi Zen Hei"/>
        <family val="2"/>
      </rPr>
      <t xml:space="preserve">「ありがとう」「大丈夫」「私はできる」を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年唱えた。現実は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ミリも変わらなかった。</t>
    </r>
  </si>
  <si>
    <t xml:space="preserve">アファメーションが効かないのは、回数が足りないからじゃない。</t>
  </si>
  <si>
    <t xml:space="preserve">毎朝、鏡の前で「私は愛されてる」と唱えながら、心の中で「嘘つけ」とつっこんでいた。</t>
  </si>
  <si>
    <t xml:space="preserve">毎朝、鏡の前で唱えてた。
「私は愛されてる」
「お金はどんどん入ってくる」
でも唱えながら、心の中では毎回
「嘘つけ」ってつっこんでた。
口は前向き。腹の中は真逆。
私の潜在意識が聞いていたのは、
口じゃなくて“腹の声”の方だったと思う。
だから、唱えるのをやめた。</t>
  </si>
  <si>
    <t xml:space="preserve">代わりにノートに書いたのは
「正直、全部ムカつく」
「なんで私だけ叶わないの」
きれいじゃない本音を出し切ったら、
不思議と“いい言葉”が嘘っぽくなくなった。
ポジティブになれない人は、
ダメなんじゃなくて順番が逆なだけ。
①本音を吐く →②事実と分ける →③それから望む世界を描く</t>
  </si>
  <si>
    <t xml:space="preserve">唱えながら、心の中でつっこんだことある？「嘘つけ」派の人、正直に教えて。</t>
  </si>
  <si>
    <t xml:space="preserve">なし（初日はコメント獲得に集中）</t>
  </si>
  <si>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WenQuanYi Zen Hei"/>
        <family val="2"/>
      </rPr>
      <t xml:space="preserve">告白反転型</t>
    </r>
  </si>
  <si>
    <r>
      <rPr>
        <sz val="10"/>
        <color rgb="FF000000"/>
        <rFont val="WenQuanYi Zen Hei"/>
        <family val="2"/>
      </rPr>
      <t xml:space="preserve">旧アカ</t>
    </r>
    <r>
      <rPr>
        <sz val="10"/>
        <color rgb="FF000000"/>
        <rFont val="Arial"/>
        <family val="0"/>
        <charset val="1"/>
      </rPr>
      <t xml:space="preserve">1,511</t>
    </r>
    <r>
      <rPr>
        <sz val="10"/>
        <color rgb="FF000000"/>
        <rFont val="WenQuanYi Zen Hei"/>
        <family val="2"/>
      </rPr>
      <t xml:space="preserve">閲覧の再現／</t>
    </r>
    <r>
      <rPr>
        <sz val="10"/>
        <color rgb="FF000000"/>
        <rFont val="Arial"/>
        <family val="0"/>
        <charset val="1"/>
      </rPr>
      <t xml:space="preserve">@fufu___life</t>
    </r>
    <r>
      <rPr>
        <sz val="10"/>
        <color rgb="FF000000"/>
        <rFont val="WenQuanYi Zen Hei"/>
        <family val="2"/>
      </rPr>
      <t xml:space="preserve">（界隈の常識否定）</t>
    </r>
  </si>
  <si>
    <t xml:space="preserve">旧アカの勝ちテーマが新アカでも再現するか</t>
  </si>
  <si>
    <t xml:space="preserve">12:15</t>
  </si>
  <si>
    <t xml:space="preserve">浅</t>
  </si>
  <si>
    <t xml:space="preserve">断れない食事・他人軸</t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</si>
  <si>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WenQuanYi Zen Hei"/>
        <family val="2"/>
      </rPr>
      <t xml:space="preserve">代のおじさんに誘われて、行きたくもない焼肉に行った。肉を焼き、サラダを取り分け、自慢話に笑った。</t>
    </r>
  </si>
  <si>
    <t xml:space="preserve">「誘ってくれたんだから行かなきゃ悪い」は、優しさじゃなかった。</t>
  </si>
  <si>
    <t xml:space="preserve">帰りの電車で、私は自分のことが大嫌いになっていた。</t>
  </si>
  <si>
    <t xml:space="preserve">誘ってくれたんだから、断ったら悪いかな。
そう思って行った焼肉。
肉を焼いて、サラダを取り分けて、
自慢話にニコニコうなずいて、
私のことを否定されても「そうですよね」。
帰り道、ぐったりして思った。
私、今日だれの人生を生きてたんだろう。</t>
  </si>
  <si>
    <t xml:space="preserve">「自分軸、持ってるけど？」って思ってた私が、
いちばん他人軸だった。
今は、行きたくない食事は秒で断る。
選ぶ基準はひとつだけ。
「今の私にとって、どっちが最高？」
ちなみにそのおじさん、
断っても断っても誘ってくる。メンタル最強。</t>
  </si>
  <si>
    <t xml:space="preserve">行きたくないのに行った食事、ある？誰と行ったかだけでいいから教えて。</t>
  </si>
  <si>
    <t xml:space="preserve">なし</t>
  </si>
  <si>
    <r>
      <rPr>
        <sz val="10"/>
        <color rgb="FF000000"/>
        <rFont val="Arial"/>
        <family val="0"/>
        <charset val="1"/>
      </rPr>
      <t xml:space="preserve">S1 </t>
    </r>
    <r>
      <rPr>
        <sz val="10"/>
        <color rgb="FF000000"/>
        <rFont val="WenQuanYi Zen Hei"/>
        <family val="2"/>
      </rPr>
      <t xml:space="preserve">場面告白型</t>
    </r>
  </si>
  <si>
    <r>
      <rPr>
        <sz val="10"/>
        <color rgb="FF000000"/>
        <rFont val="Arial"/>
        <family val="0"/>
        <charset val="1"/>
      </rPr>
      <t xml:space="preserve">@mikari_neisan</t>
    </r>
    <r>
      <rPr>
        <sz val="10"/>
        <color rgb="FF000000"/>
        <rFont val="WenQuanYi Zen Hei"/>
        <family val="2"/>
      </rPr>
      <t xml:space="preserve">（整ったふり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生々しさ）</t>
    </r>
  </si>
  <si>
    <t xml:space="preserve">生々しい他人軸エピソードのコメント率</t>
  </si>
  <si>
    <t xml:space="preserve">21:30</t>
  </si>
  <si>
    <t xml:space="preserve">毒出しノート（強い感情入口）</t>
  </si>
  <si>
    <r>
      <rPr>
        <sz val="10"/>
        <color rgb="FF000000"/>
        <rFont val="WenQuanYi Zen Hei"/>
        <family val="2"/>
      </rPr>
      <t xml:space="preserve">感謝ノートに感謝が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行も書けなかった日、私は「ふざけんな」と書いた。</t>
    </r>
  </si>
  <si>
    <r>
      <rPr>
        <sz val="10"/>
        <color rgb="FF000000"/>
        <rFont val="WenQuanYi Zen Hei"/>
        <family val="2"/>
      </rPr>
      <t xml:space="preserve">ジャーナリングの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行目は、きれいな言葉じゃなくていい。</t>
    </r>
  </si>
  <si>
    <r>
      <rPr>
        <sz val="10"/>
        <color rgb="FF000000"/>
        <rFont val="WenQuanYi Zen Hei"/>
        <family val="2"/>
      </rPr>
      <t xml:space="preserve">人には絶対に見せられないノートが、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冊だけある。</t>
    </r>
  </si>
  <si>
    <r>
      <rPr>
        <sz val="10"/>
        <color rgb="FF000000"/>
        <rFont val="WenQuanYi Zen Hei"/>
        <family val="2"/>
      </rPr>
      <t xml:space="preserve">感謝ノートを開いても、
「ありがとう」が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文字も出てこない日があった。
書けない自分を責めるくらいなら、と
その日の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行目に書いたのが
「ふざけんな」
そこから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分、止まらなかった。
人のせい、嫉妬、悪口、全部。</t>
    </r>
  </si>
  <si>
    <r>
      <rPr>
        <sz val="10"/>
        <color rgb="FF000000"/>
        <rFont val="WenQuanYi Zen Hei"/>
        <family val="2"/>
      </rPr>
      <t xml:space="preserve">書き終わったら、頭の中が静かになってた。
私はこれを、こっそり
“毒出し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分”と呼んでいる。
ルールは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つだけ。
・誰にも見せない
・きれいにまとめない
・最後に一番強い感情を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語で丸で囲む
吐き出しっぱなしにしないのがコツ。続きはまた書くね。</t>
    </r>
  </si>
  <si>
    <r>
      <rPr>
        <sz val="10"/>
        <color rgb="FF000000"/>
        <rFont val="WenQuanYi Zen Hei"/>
        <family val="2"/>
      </rPr>
      <t xml:space="preserve">あなたのノートの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行目、今日書くなら何て書く？</t>
    </r>
  </si>
  <si>
    <t xml:space="preserve">「毒出しの次にやること」はプロフィールの固定投稿にまとめてます</t>
  </si>
  <si>
    <r>
      <rPr>
        <sz val="10"/>
        <color rgb="FF000000"/>
        <rFont val="Arial"/>
        <family val="0"/>
        <charset val="1"/>
      </rPr>
      <t xml:space="preserve">@grit_power00</t>
    </r>
    <r>
      <rPr>
        <sz val="10"/>
        <color rgb="FF000000"/>
        <rFont val="WenQuanYi Zen Hei"/>
        <family val="2"/>
      </rPr>
      <t xml:space="preserve">（ジャーナリング否定から入る）</t>
    </r>
  </si>
  <si>
    <r>
      <rPr>
        <sz val="10"/>
        <color rgb="FF000000"/>
        <rFont val="Arial"/>
        <family val="0"/>
        <charset val="1"/>
      </rPr>
      <t xml:space="preserve">Day14</t>
    </r>
    <r>
      <rPr>
        <sz val="10"/>
        <color rgb="FF000000"/>
        <rFont val="WenQuanYi Zen Hei"/>
        <family val="2"/>
      </rPr>
      <t xml:space="preserve">（実用型）との比較：感情入口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実用入口</t>
    </r>
  </si>
  <si>
    <t xml:space="preserve">深</t>
  </si>
  <si>
    <t xml:space="preserve">身体に出た代償・顔色を読む</t>
  </si>
  <si>
    <t xml:space="preserve">脳梗塞で入院した時、人生で初めて「誰の顔色も読まなくていい時間」ができた。</t>
  </si>
  <si>
    <t xml:space="preserve">「気が利く人」は、才能じゃなくて生き延びるための癖だった。</t>
  </si>
  <si>
    <t xml:space="preserve">病院のベッドで、ホッとしている自分がいた。それが一番ショックだった。</t>
  </si>
  <si>
    <t xml:space="preserve">脳梗塞で入院した。
怖かった。
でも正直に言うと、
ホッとしている自分もいた。
誰の機嫌も取らなくていい。
「私がやります」と言わなくていい。
顔色を読まなくていい。
それが、病院のベッドだった。</t>
  </si>
  <si>
    <t xml:space="preserve">私はずっと
「気が利く」「しっかりしてる」と言われてきた。
でもそれは才能じゃなくて、
人の機嫌を読まないと怖かった頃の癖だった。
身体が止めてくれなかったら、
たぶん今も笑って無理してた。
※体調の異変はがまんせず、すぐ医療機関へ。</t>
  </si>
  <si>
    <t xml:space="preserve">「しっかりしてるね」と言われて、本当はしんどかったことある？</t>
  </si>
  <si>
    <r>
      <rPr>
        <sz val="10"/>
        <color rgb="FF000000"/>
        <rFont val="WenQuanYi Zen Hei"/>
        <family val="2"/>
      </rPr>
      <t xml:space="preserve">現アカ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位</t>
    </r>
    <r>
      <rPr>
        <sz val="10"/>
        <color rgb="FF000000"/>
        <rFont val="Arial"/>
        <family val="0"/>
        <charset val="1"/>
      </rPr>
      <t xml:space="preserve">1,137</t>
    </r>
    <r>
      <rPr>
        <sz val="10"/>
        <color rgb="FF000000"/>
        <rFont val="WenQuanYi Zen Hei"/>
        <family val="2"/>
      </rPr>
      <t xml:space="preserve">閲覧の再現</t>
    </r>
  </si>
  <si>
    <r>
      <rPr>
        <sz val="10"/>
        <color rgb="FF000000"/>
        <rFont val="WenQuanYi Zen Hei"/>
        <family val="2"/>
      </rPr>
      <t xml:space="preserve">過去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位テーマを強化冒頭で再投稿したときの伸び</t>
    </r>
  </si>
  <si>
    <t xml:space="preserve">ワクワク強要・お金</t>
  </si>
  <si>
    <t xml:space="preserve">どうせ最後まで読む人は少ないので、本当のことを書きます。「ワクワクに従え」で、私は貯金を溶かした。</t>
  </si>
  <si>
    <t xml:space="preserve">「ワクワクする方を選べば叶う」は、超ネガティブな人には逆効果だった。</t>
  </si>
  <si>
    <t xml:space="preserve">ワクワクしなきゃと思って申し込んだ講座。振り込んだ夜、私は布団の中で震えていた。</t>
  </si>
  <si>
    <t xml:space="preserve">「ワクワクする方を選べば叶う」
そう信じて、講座も占いもセミナーも申し込んだ。
振り込んだ直後だけ、ワクワクする。
でもその夜には
「また無駄にしたかも」と眠れない。
私がワクワクだと思っていたのは、
不安から逃げたいだけの焦りだった。</t>
  </si>
  <si>
    <t xml:space="preserve">ネガティブが強い人ほど、
“ワクワク”と“焦り”の区別がつかない。
今の私の基準は
「ワクワクするか」じゃなくて
「選んだ後、呼吸が深いか」。
お金を使った後に絶望する人は、
あなたがダメなんじゃなくて、基準が合ってなかっただけ。</t>
  </si>
  <si>
    <t xml:space="preserve">お金を使った後に「やっちゃった」って絶望したこと、ある？</t>
  </si>
  <si>
    <r>
      <rPr>
        <sz val="10"/>
        <color rgb="FF000000"/>
        <rFont val="Arial"/>
        <family val="0"/>
        <charset val="1"/>
      </rPr>
      <t xml:space="preserve">S8 </t>
    </r>
    <r>
      <rPr>
        <sz val="10"/>
        <color rgb="FF000000"/>
        <rFont val="WenQuanYi Zen Hei"/>
        <family val="2"/>
      </rPr>
      <t xml:space="preserve">秘密暴露型</t>
    </r>
  </si>
  <si>
    <r>
      <rPr>
        <sz val="10"/>
        <color rgb="FF000000"/>
        <rFont val="Arial"/>
        <family val="0"/>
        <charset val="1"/>
      </rPr>
      <t xml:space="preserve">@fufu___life 59,821</t>
    </r>
    <r>
      <rPr>
        <sz val="10"/>
        <color rgb="FF000000"/>
        <rFont val="WenQuanYi Zen Hei"/>
        <family val="2"/>
      </rPr>
      <t xml:space="preserve">閲覧（同型）</t>
    </r>
  </si>
  <si>
    <t xml:space="preserve">秘密暴露型冒頭の読了率・保存</t>
  </si>
  <si>
    <t xml:space="preserve">07:30</t>
  </si>
  <si>
    <t xml:space="preserve">人に頼れない</t>
  </si>
  <si>
    <t xml:space="preserve">消しゴムは借りられる。でも「これお願い」が、死ぬほど言えなかった。</t>
  </si>
  <si>
    <t xml:space="preserve">「自分でやった方が早い」は、優秀さじゃない。</t>
  </si>
  <si>
    <t xml:space="preserve">「私がやります」と笑いながら、心の中ではずっとイライラしていた。</t>
  </si>
  <si>
    <t xml:space="preserve">消しゴムは借りられる。
ペンも借りられる。
でも仕事となると、
「これお願いしていい？」が言えない。
頼んだ後、頭の中で
「そんなこともできないの？」と言われる妄想が止まらないから。</t>
  </si>
  <si>
    <r>
      <rPr>
        <sz val="10"/>
        <color rgb="FF000000"/>
        <rFont val="WenQuanYi Zen Hei"/>
        <family val="2"/>
      </rPr>
      <t xml:space="preserve">だから全部自分でやる。
そして「なんで私ばっかり」とイライラする。
人に頼れない人は、性格が悪いんじゃない。
頼むことと、見捨てられることが
頭の中でつながっているだけ。
今日は、どうでもいい小さなことを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つだけ頼んでみて。</t>
    </r>
  </si>
  <si>
    <t xml:space="preserve">頼めないのは「仕事」「家事」「お金」どれが一番？</t>
  </si>
  <si>
    <r>
      <rPr>
        <sz val="10"/>
        <color rgb="FF000000"/>
        <rFont val="WenQuanYi Zen Hei"/>
        <family val="2"/>
      </rPr>
      <t xml:space="preserve">現アカ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位</t>
    </r>
    <r>
      <rPr>
        <sz val="10"/>
        <color rgb="FF000000"/>
        <rFont val="Arial"/>
        <family val="0"/>
        <charset val="1"/>
      </rPr>
      <t xml:space="preserve">728</t>
    </r>
    <r>
      <rPr>
        <sz val="10"/>
        <color rgb="FF000000"/>
        <rFont val="WenQuanYi Zen Hei"/>
        <family val="2"/>
      </rPr>
      <t xml:space="preserve">閲覧の再現</t>
    </r>
  </si>
  <si>
    <t xml:space="preserve">朝投稿の反応確認</t>
  </si>
  <si>
    <t xml:space="preserve">ジャーナリングで何を書くか</t>
  </si>
  <si>
    <r>
      <rPr>
        <sz val="10"/>
        <color rgb="FF000000"/>
        <rFont val="WenQuanYi Zen Hei"/>
        <family val="2"/>
      </rPr>
      <t xml:space="preserve">ジャーナリングを</t>
    </r>
    <r>
      <rPr>
        <sz val="10"/>
        <color rgb="FF000000"/>
        <rFont val="Arial"/>
        <family val="0"/>
        <charset val="1"/>
      </rPr>
      <t xml:space="preserve">900</t>
    </r>
    <r>
      <rPr>
        <sz val="10"/>
        <color rgb="FF000000"/>
        <rFont val="WenQuanYi Zen Hei"/>
        <family val="2"/>
      </rPr>
      <t xml:space="preserve">日続けた人がいる。私は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日で挫折した。理由は「何を書けばいいかわからない」だった。</t>
    </r>
  </si>
  <si>
    <t xml:space="preserve">ジャーナリングで「今日の感謝」から書く人ほど、続かない。</t>
  </si>
  <si>
    <r>
      <rPr>
        <sz val="10"/>
        <color rgb="FF000000"/>
        <rFont val="WenQuanYi Zen Hei"/>
        <family val="2"/>
      </rPr>
      <t xml:space="preserve">ノートを開いて、ペンを持って、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分何も書けなかった。</t>
    </r>
  </si>
  <si>
    <r>
      <rPr>
        <sz val="10"/>
        <color rgb="FF000000"/>
        <rFont val="WenQuanYi Zen Hei"/>
        <family val="2"/>
      </rPr>
      <t xml:space="preserve">ジャーナリング、何を書けばいいかわからない人へ。
🥉やめとけ：今日の感謝を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
（ネガティブな日は嘘になる）
🥈無難：今日あったこと
（日記で終わる）
🥇ネガティブが強い人に効いた：
「今、一番ムカついてるのは誰？」</t>
    </r>
  </si>
  <si>
    <r>
      <rPr>
        <sz val="10"/>
        <color rgb="FF000000"/>
        <rFont val="WenQuanYi Zen Hei"/>
        <family val="2"/>
      </rPr>
      <t xml:space="preserve">本音に一番近い感情から書くと、ペンが止まらない。
そのあとに続ける質問はこの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つ。
・本当は、どうしてほしかった？
・それが叶ったら、私はどんな顔してる？
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つ目の質問で、はじめて「望み」が出てくる。
保存して、今夜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つだけやってみて。</t>
    </r>
  </si>
  <si>
    <r>
      <rPr>
        <sz val="10"/>
        <color rgb="FF000000"/>
        <rFont val="WenQuanYi Zen Hei"/>
        <family val="2"/>
      </rPr>
      <t xml:space="preserve">①②③どれから書く？番号だけでも</t>
    </r>
    <r>
      <rPr>
        <sz val="10"/>
        <color rgb="FF000000"/>
        <rFont val="Arial"/>
        <family val="0"/>
        <charset val="1"/>
      </rPr>
      <t xml:space="preserve">OK</t>
    </r>
    <r>
      <rPr>
        <sz val="10"/>
        <color rgb="FF000000"/>
        <rFont val="WenQuanYi Zen Hei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</si>
  <si>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つの質問のノートテンプレはプロフィールから受け取れます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</si>
  <si>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WenQuanYi Zen Hei"/>
        <family val="2"/>
      </rPr>
      <t xml:space="preserve">ランキング比較型</t>
    </r>
  </si>
  <si>
    <r>
      <rPr>
        <sz val="10"/>
        <color rgb="FF000000"/>
        <rFont val="Arial"/>
        <family val="0"/>
        <charset val="1"/>
      </rPr>
      <t xml:space="preserve">@grit_power00 109,121</t>
    </r>
    <r>
      <rPr>
        <sz val="10"/>
        <color rgb="FF000000"/>
        <rFont val="WenQuanYi Zen Hei"/>
        <family val="2"/>
      </rPr>
      <t xml:space="preserve">閲覧（ランキング型）／</t>
    </r>
    <r>
      <rPr>
        <sz val="10"/>
        <color rgb="FF000000"/>
        <rFont val="Arial"/>
        <family val="0"/>
        <charset val="1"/>
      </rPr>
      <t xml:space="preserve">@mirai.melife</t>
    </r>
  </si>
  <si>
    <t xml:space="preserve">保存・プロフ遷移（実用ランキングの効果）</t>
  </si>
  <si>
    <t xml:space="preserve">潜在意識講座の落ちこぼれ</t>
  </si>
  <si>
    <t xml:space="preserve">潜在意識の先生に「もうあなたには教えられない」と言われた。</t>
  </si>
  <si>
    <t xml:space="preserve">潜在意識の講座で優等生だった人ほど、変われていなかった。</t>
  </si>
  <si>
    <t xml:space="preserve">講座の中で、私だけがいつも怒られていた。</t>
  </si>
  <si>
    <t xml:space="preserve">潜在意識の講座で、
私だけいつも怒られていた。
優秀なメンバーと比べられて、
最後に先生に言われた。
「もうあなたには教えられない。自己流でやりすぎ」
その時の本音は、反省じゃなかった。
「なんで私だけ」だった。</t>
  </si>
  <si>
    <r>
      <rPr>
        <sz val="10"/>
        <color rgb="FF000000"/>
        <rFont val="WenQuanYi Zen Hei"/>
        <family val="2"/>
      </rPr>
      <t xml:space="preserve">でも、どんなにエゴが騒いでも
幸せな自分だけは諦めなかった。
性格の悪い考えが出ても、
それを否定せずにノートに書いた。
落ちこぼれの私が、何をしてどう変わったか。
この話は【落ちこぼれ編】として続きを書きます。（</t>
    </r>
    <r>
      <rPr>
        <sz val="10"/>
        <color rgb="FF000000"/>
        <rFont val="Arial"/>
        <family val="0"/>
        <charset val="1"/>
      </rPr>
      <t xml:space="preserve">1/3</t>
    </r>
    <r>
      <rPr>
        <sz val="10"/>
        <color rgb="FF000000"/>
        <rFont val="WenQuanYi Zen Hei"/>
        <family val="2"/>
      </rPr>
      <t xml:space="preserve">）</t>
    </r>
  </si>
  <si>
    <t xml:space="preserve">習い事や講座で「私だけできない」と思ったこと、ある？</t>
  </si>
  <si>
    <r>
      <rPr>
        <sz val="10"/>
        <color rgb="FF000000"/>
        <rFont val="WenQuanYi Zen Hei"/>
        <family val="2"/>
      </rPr>
      <t xml:space="preserve">続き（</t>
    </r>
    <r>
      <rPr>
        <sz val="10"/>
        <color rgb="FF000000"/>
        <rFont val="Arial"/>
        <family val="0"/>
        <charset val="1"/>
      </rPr>
      <t xml:space="preserve">2/3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3/3</t>
    </r>
    <r>
      <rPr>
        <sz val="10"/>
        <color rgb="FF000000"/>
        <rFont val="WenQuanYi Zen Hei"/>
        <family val="2"/>
      </rPr>
      <t xml:space="preserve">）はプロフィールからまとめて読めます</t>
    </r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</si>
  <si>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連載・未完ループ型</t>
    </r>
  </si>
  <si>
    <r>
      <rPr>
        <sz val="10"/>
        <color rgb="FF000000"/>
        <rFont val="Arial"/>
        <family val="0"/>
        <charset val="1"/>
      </rPr>
      <t xml:space="preserve">@yamakawa.nobuto</t>
    </r>
    <r>
      <rPr>
        <sz val="10"/>
        <color rgb="FF000000"/>
        <rFont val="WenQuanYi Zen Hei"/>
        <family val="2"/>
      </rPr>
      <t xml:space="preserve">（未完の一行→答えを隠す）</t>
    </r>
  </si>
  <si>
    <t xml:space="preserve">連載型がプロフ遷移を生むか</t>
  </si>
  <si>
    <r>
      <rPr>
        <sz val="10"/>
        <color rgb="FF000000"/>
        <rFont val="WenQuanYi Zen Hei"/>
        <family val="2"/>
      </rPr>
      <t xml:space="preserve">妄想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現実の時間差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</si>
  <si>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分の妄想。残りの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WenQuanYi Zen Hei"/>
        <family val="2"/>
      </rPr>
      <t xml:space="preserve">時間</t>
    </r>
    <r>
      <rPr>
        <sz val="10"/>
        <color rgb="FF000000"/>
        <rFont val="Arial"/>
        <family val="0"/>
        <charset val="1"/>
      </rPr>
      <t xml:space="preserve">57</t>
    </r>
    <r>
      <rPr>
        <sz val="10"/>
        <color rgb="FF000000"/>
        <rFont val="WenQuanYi Zen Hei"/>
        <family val="2"/>
      </rPr>
      <t xml:space="preserve">分、私は不安に浸かっていた。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</si>
  <si>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日数分イメージすれば叶う」は、超ネガティブな人には足りない。</t>
    </r>
  </si>
  <si>
    <t xml:space="preserve">妄想を終えて目を開けた瞬間、通帳の数字が頭に浮かんだ。</t>
  </si>
  <si>
    <r>
      <rPr>
        <sz val="10"/>
        <color rgb="FF000000"/>
        <rFont val="WenQuanYi Zen Hei"/>
        <family val="2"/>
      </rPr>
      <t xml:space="preserve">朝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分、叶った自分を妄想する。
目を開ける。
そこから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WenQuanYi Zen Hei"/>
        <family val="2"/>
      </rPr>
      <t xml:space="preserve">時間</t>
    </r>
    <r>
      <rPr>
        <sz val="10"/>
        <color rgb="FF000000"/>
        <rFont val="Arial"/>
        <family val="0"/>
        <charset val="1"/>
      </rPr>
      <t xml:space="preserve">57</t>
    </r>
    <r>
      <rPr>
        <sz val="10"/>
        <color rgb="FF000000"/>
        <rFont val="WenQuanYi Zen Hei"/>
        <family val="2"/>
      </rPr>
      <t xml:space="preserve">分、
「お金どうしよう」「嫌われたかも」が流れ続ける。
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 </t>
    </r>
    <r>
      <rPr>
        <sz val="10"/>
        <color rgb="FF000000"/>
        <rFont val="Arial"/>
        <family val="0"/>
        <charset val="1"/>
      </rPr>
      <t xml:space="preserve">vs 23</t>
    </r>
    <r>
      <rPr>
        <sz val="10"/>
        <color rgb="FF000000"/>
        <rFont val="WenQuanYi Zen Hei"/>
        <family val="2"/>
      </rPr>
      <t xml:space="preserve">時間</t>
    </r>
    <r>
      <rPr>
        <sz val="10"/>
        <color rgb="FF000000"/>
        <rFont val="Arial"/>
        <family val="0"/>
        <charset val="1"/>
      </rPr>
      <t xml:space="preserve">57</t>
    </r>
    <r>
      <rPr>
        <sz val="10"/>
        <color rgb="FF000000"/>
        <rFont val="WenQuanYi Zen Hei"/>
        <family val="2"/>
      </rPr>
      <t xml:space="preserve">分。
勝てるわけがなかった。</t>
    </r>
  </si>
  <si>
    <r>
      <rPr>
        <sz val="10"/>
        <color rgb="FF000000"/>
        <rFont val="WenQuanYi Zen Hei"/>
        <family val="2"/>
      </rPr>
      <t xml:space="preserve">妄想が足りないんじゃない。
雑念の方が、私の日常だった。
だから私は先に、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WenQuanYi Zen Hei"/>
        <family val="2"/>
      </rPr>
      <t xml:space="preserve">時間</t>
    </r>
    <r>
      <rPr>
        <sz val="10"/>
        <color rgb="FF000000"/>
        <rFont val="Arial"/>
        <family val="0"/>
        <charset val="1"/>
      </rPr>
      <t xml:space="preserve">57</t>
    </r>
    <r>
      <rPr>
        <sz val="10"/>
        <color rgb="FF000000"/>
        <rFont val="WenQuanYi Zen Hei"/>
        <family val="2"/>
      </rPr>
      <t xml:space="preserve">分の方を片づけた。
不安を全部ノートに吐く。
事実と妄想を分ける。
それから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分の妄想に入る。
同じ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分でも、入り方を変えたら“浸れる”ようになった。</t>
    </r>
  </si>
  <si>
    <t xml:space="preserve">妄想中に入ってくる雑念、一番多いのは何？</t>
  </si>
  <si>
    <r>
      <rPr>
        <sz val="10"/>
        <color rgb="FF000000"/>
        <rFont val="Arial"/>
        <family val="0"/>
        <charset val="1"/>
      </rPr>
      <t xml:space="preserve">@sora411114</t>
    </r>
    <r>
      <rPr>
        <sz val="10"/>
        <color rgb="FF000000"/>
        <rFont val="WenQuanYi Zen Hei"/>
        <family val="2"/>
      </rPr>
      <t xml:space="preserve">（向き合う人ほど変われない逆説）</t>
    </r>
  </si>
  <si>
    <t xml:space="preserve">妄想・潜在意識テーマの反応</t>
  </si>
  <si>
    <t xml:space="preserve">22:00</t>
  </si>
  <si>
    <t xml:space="preserve">占い依存</t>
  </si>
  <si>
    <r>
      <rPr>
        <sz val="10"/>
        <color rgb="FF000000"/>
        <rFont val="WenQuanYi Zen Hei"/>
        <family val="2"/>
      </rPr>
      <t xml:space="preserve">彼から連絡が来ない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週間で、占いに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回お金を払った。</t>
    </r>
  </si>
  <si>
    <r>
      <rPr>
        <sz val="10"/>
        <color rgb="FF000000"/>
        <rFont val="WenQuanYi Zen Hei"/>
        <family val="2"/>
      </rPr>
      <t xml:space="preserve">占いで「戻ってくる」と言われても、不安は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ミリも消えなかった。</t>
    </r>
  </si>
  <si>
    <r>
      <rPr>
        <sz val="10"/>
        <color rgb="FF000000"/>
        <rFont val="WenQuanYi Zen Hei"/>
        <family val="2"/>
      </rPr>
      <t xml:space="preserve">深夜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時、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人目の占い師に同じ質問をしていた。</t>
    </r>
  </si>
  <si>
    <r>
      <rPr>
        <sz val="10"/>
        <color rgb="FF000000"/>
        <rFont val="WenQuanYi Zen Hei"/>
        <family val="2"/>
      </rPr>
      <t xml:space="preserve">彼から連絡が来ない。
不安で、占いに行く。
「大丈夫、戻ってきます」
ホッとするのは、その日の夜まで。
翌朝にはまた不安で、別の占い師へ。
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週間で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回。
欲しかったのは彼の気持ちじゃなかった。</t>
    </r>
  </si>
  <si>
    <r>
      <rPr>
        <sz val="10"/>
        <color rgb="FF000000"/>
        <rFont val="WenQuanYi Zen Hei"/>
        <family val="2"/>
      </rPr>
      <t xml:space="preserve">本当に欲しかったのは、
「私は大丈夫」と自分で思える感覚だった。
彼の気持ちは何回でも聞きに行くのに、
自分の気持ちは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回も聞いていなかった。
今夜は占いの前に、ノートに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行だけ。
「私は本当は、どうしたい？」</t>
    </r>
  </si>
  <si>
    <r>
      <rPr>
        <sz val="10"/>
        <color rgb="FF000000"/>
        <rFont val="WenQuanYi Zen Hei"/>
        <family val="2"/>
      </rPr>
      <t xml:space="preserve">不安な夜、あなたは何をしてしまう？占い・</t>
    </r>
    <r>
      <rPr>
        <sz val="10"/>
        <color rgb="FF000000"/>
        <rFont val="Arial"/>
        <family val="0"/>
        <charset val="1"/>
      </rPr>
      <t xml:space="preserve">SNS</t>
    </r>
    <r>
      <rPr>
        <sz val="10"/>
        <color rgb="FF000000"/>
        <rFont val="WenQuanYi Zen Hei"/>
        <family val="2"/>
      </rPr>
      <t xml:space="preserve">監視・友達に連絡…</t>
    </r>
  </si>
  <si>
    <r>
      <rPr>
        <sz val="10"/>
        <color rgb="FF000000"/>
        <rFont val="WenQuanYi Zen Hei"/>
        <family val="2"/>
      </rPr>
      <t xml:space="preserve">恋愛テーマ検証（全体の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％枠）</t>
    </r>
  </si>
  <si>
    <t xml:space="preserve">恋愛依存テーマの需要（復縁を直接は扱わない）</t>
  </si>
  <si>
    <t xml:space="preserve">感謝より自分の本音</t>
  </si>
  <si>
    <t xml:space="preserve">どうせ最後まで読む人は少ないので本音を書きます。家族への感謝より、「自分で稼いで自由にしてる私、最高」の方が本音だった。</t>
  </si>
  <si>
    <t xml:space="preserve">「まず周りに感謝しましょう」が、私の本音を消していた。</t>
  </si>
  <si>
    <t xml:space="preserve">先生の前で「自由にさせてくれる家族に感謝です」と言った。心にもなかった。</t>
  </si>
  <si>
    <t xml:space="preserve">一人で出雲大社に行った。
道中からずっとワクワクしてた。
潜在意識の先生の前では
「自由にさせてくれる家族に感謝です」
って言わなきゃと思って、言った。
でも本音は、ただひとつ。
「自分で稼いで、自由にしてる私、最高！！」</t>
  </si>
  <si>
    <t xml:space="preserve">感謝は大事。
でも本音にフタをして言う感謝は、
私には“いい人の演技”だった。
私が正解と思ったら、それが正解。
そう決めたら、人の目がどうでもよくなった。
性格悪いと思われてもいい。これが本音。</t>
  </si>
  <si>
    <r>
      <rPr>
        <sz val="10"/>
        <color rgb="FF000000"/>
        <rFont val="WenQuanYi Zen Hei"/>
        <family val="2"/>
      </rPr>
      <t xml:space="preserve">「本当はこっちが本音」っていう、言えないこと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つ教えて。</t>
    </r>
  </si>
  <si>
    <r>
      <rPr>
        <sz val="10"/>
        <color rgb="FF000000"/>
        <rFont val="Arial"/>
        <family val="0"/>
        <charset val="1"/>
      </rPr>
      <t xml:space="preserve">@fufu___life</t>
    </r>
    <r>
      <rPr>
        <sz val="10"/>
        <color rgb="FF000000"/>
        <rFont val="WenQuanYi Zen Hei"/>
        <family val="2"/>
      </rPr>
      <t xml:space="preserve">（秘密告白）／</t>
    </r>
    <r>
      <rPr>
        <sz val="10"/>
        <color rgb="FF000000"/>
        <rFont val="Arial"/>
        <family val="0"/>
        <charset val="1"/>
      </rPr>
      <t xml:space="preserve">@mikari_neisan</t>
    </r>
  </si>
  <si>
    <t xml:space="preserve">本音暴露のコメント・リポスト率</t>
  </si>
  <si>
    <t xml:space="preserve">吐き出しの注意点</t>
  </si>
  <si>
    <t xml:space="preserve">「ネガティブを書き出すと逆に苦しくなる」は、半分正解だった。</t>
  </si>
  <si>
    <t xml:space="preserve">毒を吐くだけのノートは、ぐるぐるを強くする。</t>
  </si>
  <si>
    <t xml:space="preserve">悪口を書いたあと、余計にイライラして眠れなかった夜がある。</t>
  </si>
  <si>
    <t xml:space="preserve">ネガティブを吐き出したら
余計に苦しくなった人へ。
それ、あなたのやり方が悪いんじゃない。
“吐きっぱなし”だっただけ。
私も最初は、書くほどムカついて眠れなかった。</t>
  </si>
  <si>
    <r>
      <rPr>
        <sz val="10"/>
        <color rgb="FF000000"/>
        <rFont val="WenQuanYi Zen Hei"/>
        <family val="2"/>
      </rPr>
      <t xml:space="preserve">変わったのは、最後に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つ足してから。
①一番強い感情を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語で囲む（怒り・怖い・寂しい）
②「事実」と「頭の中のストーリー」に線を引く
③今日“あった”ものを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つ書く（払えた・食べた・眠れた）
吐く→囲む→分ける→ある。
ここまでで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セット。
※つらさが強い時は、一人で抱えず専門家にも相談してね。</t>
    </r>
  </si>
  <si>
    <t xml:space="preserve">書き出して楽になった派？しんどくなった派？</t>
  </si>
  <si>
    <r>
      <rPr>
        <sz val="10"/>
        <color rgb="FF000000"/>
        <rFont val="WenQuanYi Zen Hei"/>
        <family val="2"/>
      </rPr>
      <t xml:space="preserve">吐き出しの全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ステップは固定投稿にあります</t>
    </r>
  </si>
  <si>
    <r>
      <rPr>
        <sz val="10"/>
        <color rgb="FF000000"/>
        <rFont val="Arial"/>
        <family val="0"/>
        <charset val="1"/>
      </rPr>
      <t xml:space="preserve">S6 Q&amp;A</t>
    </r>
    <r>
      <rPr>
        <sz val="10"/>
        <color rgb="FF000000"/>
        <rFont val="WenQuanYi Zen Hei"/>
        <family val="2"/>
      </rPr>
      <t xml:space="preserve">反論型</t>
    </r>
  </si>
  <si>
    <r>
      <rPr>
        <sz val="10"/>
        <color rgb="FF000000"/>
        <rFont val="Arial"/>
        <family val="0"/>
        <charset val="1"/>
      </rPr>
      <t xml:space="preserve">@grit_power00</t>
    </r>
    <r>
      <rPr>
        <sz val="10"/>
        <color rgb="FF000000"/>
        <rFont val="WenQuanYi Zen Hei"/>
        <family val="2"/>
      </rPr>
      <t xml:space="preserve">（吐くだけではダメ論）への設計回答</t>
    </r>
  </si>
  <si>
    <t xml:space="preserve">注意点投稿の信頼度（保存・フォロー転換）</t>
  </si>
  <si>
    <t xml:space="preserve">一人旅・人の目</t>
  </si>
  <si>
    <t xml:space="preserve">一人で出雲大社に行って気づいた。人といる時の方が、ずっと寂しかった。</t>
  </si>
  <si>
    <t xml:space="preserve">「一人＝寂しい人」と思っていたのは、私自身だった。</t>
  </si>
  <si>
    <t xml:space="preserve">一人で飲食店に入る。昔の私は、それすらできなかった。</t>
  </si>
  <si>
    <t xml:space="preserve">一人で出雲大社に行った。
一人でご飯屋さんに入って、
食べ歩きして、ゆっくり参拝して。
めちゃくちゃ贅沢な時間だった。
昔の私なら、
「ぼっちって思われてない？」
ってそればかり気にしてた。</t>
  </si>
  <si>
    <t xml:space="preserve">人から見られる自分が本当の私だと思って、
背伸びしまくってた。
人と合わせないと嫌われる。
友達とつるんでないと価値がない。
その思い込みでガチガチだった。
一人で満たされてみて初めてわかった。
人に合わせてた時の方が、ずっと寂しかった。</t>
  </si>
  <si>
    <t xml:space="preserve">一人で行けるのはどこまで？カフェ・ご飯・焼肉・旅行</t>
  </si>
  <si>
    <r>
      <rPr>
        <sz val="10"/>
        <color rgb="FF000000"/>
        <rFont val="Arial"/>
        <family val="0"/>
        <charset val="1"/>
      </rPr>
      <t xml:space="preserve">@yama_reself</t>
    </r>
    <r>
      <rPr>
        <sz val="10"/>
        <color rgb="FF000000"/>
        <rFont val="WenQuanYi Zen Hei"/>
        <family val="2"/>
      </rPr>
      <t xml:space="preserve">（反転）</t>
    </r>
  </si>
  <si>
    <t xml:space="preserve">一人旅は「本音」まで踏み込むと伸びるかの検証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</si>
  <si>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分本音ノート（保存型）</t>
    </r>
  </si>
  <si>
    <r>
      <rPr>
        <sz val="10"/>
        <color rgb="FF000000"/>
        <rFont val="WenQuanYi Zen Hei"/>
        <family val="2"/>
      </rPr>
      <t xml:space="preserve">感謝ノートを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年書いても変わらなかった私が、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分で頭を静かにできた書き方。</t>
    </r>
  </si>
  <si>
    <t xml:space="preserve">「ネガティブは書かない方がいい」と思っている人ほど、ノートが続かない。</t>
  </si>
  <si>
    <r>
      <rPr>
        <sz val="10"/>
        <color rgb="FF000000"/>
        <rFont val="WenQuanYi Zen Hei"/>
        <family val="2"/>
      </rPr>
      <t xml:space="preserve">ネガティブが強い人向け、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分でできる本音ノート。保存して今夜やって。</t>
    </r>
  </si>
  <si>
    <r>
      <rPr>
        <sz val="10"/>
        <color rgb="FF000000"/>
        <rFont val="WenQuanYi Zen Hei"/>
        <family val="2"/>
      </rPr>
      <t xml:space="preserve">ポジティブになれない人専用
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分本音ノート
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分：人のせい・嫉妬・悪口を全部書く
②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秒：一番強い感情を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語で丸
③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秒：「事実」と「想像」に線を引く
④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秒：今日“あった”ものを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
⑤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秒：本当はどうしてほしかった？</t>
    </r>
  </si>
  <si>
    <r>
      <rPr>
        <sz val="10"/>
        <color rgb="FF000000"/>
        <rFont val="WenQuanYi Zen Hei"/>
        <family val="2"/>
      </rPr>
      <t xml:space="preserve">ポイントは
「書いた内容で自分を裁かない」こと。
性格の悪い言葉が出てくるのは、
それだけ我慢してきた証拠。
これを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週間やったら、
妄想（イメージング）に雑念が入りにくくなった。
妄想のやり方は、またまとめるね。</t>
    </r>
  </si>
  <si>
    <t xml:space="preserve">やってみたら、①で一番多く出てきた言葉を教えて。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</si>
  <si>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分本音ノートのテンプレはプロフィールのリンクから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</si>
  <si>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WenQuanYi Zen Hei"/>
        <family val="2"/>
      </rPr>
      <t xml:space="preserve">保存型リスト</t>
    </r>
  </si>
  <si>
    <r>
      <rPr>
        <sz val="10"/>
        <color rgb="FF000000"/>
        <rFont val="Arial"/>
        <family val="0"/>
        <charset val="1"/>
      </rPr>
      <t xml:space="preserve">@mirai.melife 275,597</t>
    </r>
    <r>
      <rPr>
        <sz val="10"/>
        <color rgb="FF000000"/>
        <rFont val="WenQuanYi Zen Hei"/>
        <family val="2"/>
      </rPr>
      <t xml:space="preserve">閲覧（質問リスト）</t>
    </r>
  </si>
  <si>
    <r>
      <rPr>
        <sz val="10"/>
        <color rgb="FF000000"/>
        <rFont val="Arial"/>
        <family val="0"/>
        <charset val="1"/>
      </rPr>
      <t xml:space="preserve">Day3</t>
    </r>
    <r>
      <rPr>
        <sz val="10"/>
        <color rgb="FF000000"/>
        <rFont val="WenQuanYi Zen Hei"/>
        <family val="2"/>
      </rPr>
      <t xml:space="preserve">との比較・保存数・プロフ遷移</t>
    </r>
  </si>
  <si>
    <t xml:space="preserve">スピ界隈の言葉で片づけない</t>
  </si>
  <si>
    <t xml:space="preserve">「それは宇宙からのお試しよ」と言われた仲間は、半年たっても戻ってこなかった。</t>
  </si>
  <si>
    <t xml:space="preserve">苦しみを「宇宙のお試し」で片づけるのは、優しさじゃない。</t>
  </si>
  <si>
    <t xml:space="preserve">講座で一番優秀だった人が、ある日から来なくなった。</t>
  </si>
  <si>
    <t xml:space="preserve">講座で一番優秀だったメンバーが、
旦那さんと揉めて来られなくなった。
先生は言った。
「それは宇宙からのお試しなのよ」
その人は、半年たっても戻ってこなかった。</t>
  </si>
  <si>
    <t xml:space="preserve">苦しい時に必要だったのは、
きれいな意味づけじゃなくて
「それはしんどいね」の一言だったと思う。
だから私は、
意味を探す前に、まず全部吐き出していいと伝えたい。
意味づけは、ずっと後でいい。</t>
  </si>
  <si>
    <t xml:space="preserve">スピ系・自己啓発で言われて一番モヤッとした言葉は？</t>
  </si>
  <si>
    <r>
      <rPr>
        <sz val="10"/>
        <color rgb="FF000000"/>
        <rFont val="Arial"/>
        <family val="0"/>
        <charset val="1"/>
      </rPr>
      <t xml:space="preserve">@mikari_neisan 31,054</t>
    </r>
    <r>
      <rPr>
        <sz val="10"/>
        <color rgb="FF000000"/>
        <rFont val="WenQuanYi Zen Hei"/>
        <family val="2"/>
      </rPr>
      <t xml:space="preserve">閲覧（界隈への皮肉）</t>
    </r>
  </si>
  <si>
    <t xml:space="preserve">界隈批判の拡散力（リポスト）</t>
  </si>
  <si>
    <t xml:space="preserve">人の幸せを喜べない</t>
  </si>
  <si>
    <t xml:space="preserve">友達の「結婚しました」に、おめでとうより先に舌打ちが出た。</t>
  </si>
  <si>
    <t xml:space="preserve">人の幸せを喜べない人は、性格が悪いんじゃない。</t>
  </si>
  <si>
    <t xml:space="preserve">インスタの幸せ報告を、そっと非表示にしたことがある。</t>
  </si>
  <si>
    <t xml:space="preserve">人の幸せを喜べない。
それは性格が悪いからじゃない。
自分の欲しいものを
ずっと我慢してきた証拠。
嫉妬は、欲しいものの地図。
舌打ちは、本音のサイン。</t>
  </si>
  <si>
    <r>
      <rPr>
        <sz val="10"/>
        <color rgb="FF000000"/>
        <rFont val="WenQuanYi Zen Hei"/>
        <family val="2"/>
      </rPr>
      <t xml:space="preserve">私は嫉妬を消そうとするのをやめた。
ノートに書く。
「本当はムカつく」
「私だって欲しかった」
そのあとに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行だけ。
「私が本当に欲しいのは何？」
嫉妬した相手は、
私の“次の妄想”の見本になった。</t>
    </r>
  </si>
  <si>
    <t xml:space="preserve">最近、正直に嫉妬したことある？誰かじゃなくて「何に」で教えて。</t>
  </si>
  <si>
    <r>
      <rPr>
        <sz val="10"/>
        <color rgb="FF000000"/>
        <rFont val="Arial"/>
        <family val="0"/>
        <charset val="1"/>
      </rPr>
      <t xml:space="preserve">S7 </t>
    </r>
    <r>
      <rPr>
        <sz val="10"/>
        <color rgb="FF000000"/>
        <rFont val="WenQuanYi Zen Hei"/>
        <family val="2"/>
      </rPr>
      <t xml:space="preserve">短文反転連打型</t>
    </r>
  </si>
  <si>
    <r>
      <rPr>
        <sz val="10"/>
        <color rgb="FF000000"/>
        <rFont val="Arial"/>
        <family val="0"/>
        <charset val="1"/>
      </rPr>
      <t xml:space="preserve">@yama_reself 125,641</t>
    </r>
    <r>
      <rPr>
        <sz val="10"/>
        <color rgb="FF000000"/>
        <rFont val="WenQuanYi Zen Hei"/>
        <family val="2"/>
      </rPr>
      <t xml:space="preserve">閲覧（短文反転）</t>
    </r>
  </si>
  <si>
    <r>
      <rPr>
        <sz val="10"/>
        <color rgb="FF000000"/>
        <rFont val="WenQuanYi Zen Hei"/>
        <family val="2"/>
      </rPr>
      <t xml:space="preserve">短文型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物語型の比較</t>
    </r>
  </si>
  <si>
    <t xml:space="preserve">22:30</t>
  </si>
  <si>
    <t xml:space="preserve">既読スルーの夜</t>
  </si>
  <si>
    <r>
      <rPr>
        <sz val="10"/>
        <color rgb="FF000000"/>
        <rFont val="WenQuanYi Zen Hei"/>
        <family val="2"/>
      </rPr>
      <t xml:space="preserve">既読スルー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日目。私はスマホを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</t>
    </r>
    <r>
      <rPr>
        <sz val="10"/>
        <color rgb="FF000000"/>
        <rFont val="Arial"/>
        <family val="0"/>
        <charset val="1"/>
      </rPr>
      <t xml:space="preserve">47</t>
    </r>
    <r>
      <rPr>
        <sz val="10"/>
        <color rgb="FF000000"/>
        <rFont val="WenQuanYi Zen Hei"/>
        <family val="2"/>
      </rPr>
      <t xml:space="preserve">回見ていた。</t>
    </r>
  </si>
  <si>
    <t xml:space="preserve">既読スルーで病むのは、相手のせいじゃない。</t>
  </si>
  <si>
    <r>
      <rPr>
        <sz val="10"/>
        <color rgb="FF000000"/>
        <rFont val="WenQuanYi Zen Hei"/>
        <family val="2"/>
      </rPr>
      <t xml:space="preserve">「既読」の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文字で、自分の価値まで下がった気がした。</t>
    </r>
  </si>
  <si>
    <r>
      <rPr>
        <sz val="10"/>
        <color rgb="FF000000"/>
        <rFont val="WenQuanYi Zen Hei"/>
        <family val="2"/>
      </rPr>
      <t xml:space="preserve">既読スルーされた夜にやってほしい、
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つの質問。
①今、何が一番怖い？
（嫌われた？忘れられた？）
②それは「事実」？「想像」？
③彼が返信しなくても、今日の私にある“いいもの”は？</t>
    </r>
  </si>
  <si>
    <t xml:space="preserve">既読スルーで苦しいのは、
彼の返信がないからじゃなく、
「返信がない＝私には価値がない」
と頭の中で翻訳してしまうから。
翻訳を止めるには、
頭の中から紙の上に出すのが一番早かった。</t>
  </si>
  <si>
    <r>
      <rPr>
        <sz val="10"/>
        <color rgb="FF000000"/>
        <rFont val="WenQuanYi Zen Hei"/>
        <family val="2"/>
      </rPr>
      <t xml:space="preserve">スマホを見る回数、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日何回くらいだった？</t>
    </r>
  </si>
  <si>
    <r>
      <rPr>
        <sz val="10"/>
        <color rgb="FF000000"/>
        <rFont val="Arial"/>
        <family val="0"/>
        <charset val="1"/>
      </rPr>
      <t xml:space="preserve">S1 </t>
    </r>
    <r>
      <rPr>
        <sz val="10"/>
        <color rgb="FF000000"/>
        <rFont val="WenQuanYi Zen Hei"/>
        <family val="2"/>
      </rPr>
      <t xml:space="preserve">リスト実用型</t>
    </r>
  </si>
  <si>
    <r>
      <rPr>
        <sz val="10"/>
        <color rgb="FF000000"/>
        <rFont val="Arial"/>
        <family val="0"/>
        <charset val="1"/>
      </rPr>
      <t xml:space="preserve">@sora411114</t>
    </r>
    <r>
      <rPr>
        <sz val="10"/>
        <color rgb="FF000000"/>
        <rFont val="WenQuanYi Zen Hei"/>
        <family val="2"/>
      </rPr>
      <t xml:space="preserve">（恋愛不安・ぐるぐる）</t>
    </r>
  </si>
  <si>
    <r>
      <rPr>
        <sz val="10"/>
        <color rgb="FF000000"/>
        <rFont val="WenQuanYi Zen Hei"/>
        <family val="2"/>
      </rPr>
      <t xml:space="preserve">恋愛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ノートの保存需要</t>
    </r>
  </si>
  <si>
    <t xml:space="preserve">「ある」探しをお金で</t>
  </si>
  <si>
    <t xml:space="preserve">「ないもの」ばかり数えていた私が、通帳じゃなく領収書を見て泣いた。</t>
  </si>
  <si>
    <t xml:space="preserve">「あるを探せ」と言われて幸せを探すから、見つからない。</t>
  </si>
  <si>
    <t xml:space="preserve">今月も家賃を払えた。それをノートに書いた日、何かが変わった。</t>
  </si>
  <si>
    <t xml:space="preserve">「あるを見つけましょう」
そう言われても、ないものしか見えなかった。
収入を増やしたい。
貯金が足りない。
だから探し方を変えた。
幸せじゃなくて、生活費で探す。</t>
  </si>
  <si>
    <t xml:space="preserve">今月払えたもの、書いてみた。
家賃。電気代。スマホ代。
子どもの給食費。
コンビニのコーヒー。
「全部、払えてるじゃん」
目に見える“ある”は、嘘がつけない。
だから私の潜在意識も、反論してこなかった。</t>
  </si>
  <si>
    <r>
      <rPr>
        <sz val="10"/>
        <color rgb="FF000000"/>
        <rFont val="WenQuanYi Zen Hei"/>
        <family val="2"/>
      </rPr>
      <t xml:space="preserve">今月払えたもの、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つ書いて。小さいもので</t>
    </r>
    <r>
      <rPr>
        <sz val="10"/>
        <color rgb="FF000000"/>
        <rFont val="Arial"/>
        <family val="0"/>
        <charset val="1"/>
      </rPr>
      <t xml:space="preserve">OK</t>
    </r>
    <r>
      <rPr>
        <sz val="10"/>
        <color rgb="FF000000"/>
        <rFont val="WenQuanYi Zen Hei"/>
        <family val="2"/>
      </rPr>
      <t xml:space="preserve">。</t>
    </r>
  </si>
  <si>
    <t xml:space="preserve">「ある」探しテンプレはプロフィールから</t>
  </si>
  <si>
    <t xml:space="preserve">倫子さん独自メソッド（壁打ち：あるを認めるワーク）</t>
  </si>
  <si>
    <t xml:space="preserve">コメント参加型の伸び</t>
  </si>
  <si>
    <t xml:space="preserve">「大丈夫です」が口癖</t>
  </si>
  <si>
    <t xml:space="preserve">「大丈夫です」が口癖だった頃、全然大丈夫じゃなかった。</t>
  </si>
  <si>
    <t xml:space="preserve">「大丈夫？」と聞かれて「大丈夫」と答える人ほど、限界が近い。</t>
  </si>
  <si>
    <t xml:space="preserve">あなたは何個当てはまる？「大丈夫なふり」チェック</t>
  </si>
  <si>
    <t xml:space="preserve">「大丈夫なふり」チェック
□ 体調が悪くても「大丈夫です」
□ 頼まれたら即「やります」
□ 何もしてないのに「怒ってる？」と聞かれる
□ 疲れていても笑顔で返信
□ 一人になると急にぐったり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</si>
  <si>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つ以上当てはまる人は、
優しいんじゃなく、たぶん怖いだけ。
本音を言ったら、関係が壊れる気がしてる。
私は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つ全部だった。
そして身体が先に限界を教えてくれた。
今日は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回だけ「ちょっと無理かも」と言ってみて。</t>
    </r>
  </si>
  <si>
    <r>
      <rPr>
        <sz val="10"/>
        <color rgb="FF000000"/>
        <rFont val="WenQuanYi Zen Hei"/>
        <family val="2"/>
      </rPr>
      <t xml:space="preserve">いくつ当てはまった？数字だけで</t>
    </r>
    <r>
      <rPr>
        <sz val="10"/>
        <color rgb="FF000000"/>
        <rFont val="Arial"/>
        <family val="0"/>
        <charset val="1"/>
      </rPr>
      <t xml:space="preserve">OK</t>
    </r>
    <r>
      <rPr>
        <sz val="10"/>
        <color rgb="FF000000"/>
        <rFont val="WenQuanYi Zen Hei"/>
        <family val="2"/>
      </rPr>
      <t xml:space="preserve">。</t>
    </r>
  </si>
  <si>
    <t xml:space="preserve">「大丈夫なふり」を卒業するノートの書き方は固定投稿に</t>
  </si>
  <si>
    <r>
      <rPr>
        <sz val="10"/>
        <color rgb="FF000000"/>
        <rFont val="Arial"/>
        <family val="0"/>
        <charset val="1"/>
      </rPr>
      <t xml:space="preserve">S5 </t>
    </r>
    <r>
      <rPr>
        <sz val="10"/>
        <color rgb="FF000000"/>
        <rFont val="WenQuanYi Zen Hei"/>
        <family val="2"/>
      </rPr>
      <t xml:space="preserve">診断チェック型</t>
    </r>
  </si>
  <si>
    <r>
      <rPr>
        <sz val="10"/>
        <color rgb="FF000000"/>
        <rFont val="Arial"/>
        <family val="0"/>
        <charset val="1"/>
      </rPr>
      <t xml:space="preserve">@asa_jikorikai 322,106</t>
    </r>
    <r>
      <rPr>
        <sz val="10"/>
        <color rgb="FF000000"/>
        <rFont val="WenQuanYi Zen Hei"/>
        <family val="2"/>
      </rPr>
      <t xml:space="preserve">閲覧（問いリスト）</t>
    </r>
  </si>
  <si>
    <t xml:space="preserve">診断型のコメント数</t>
  </si>
  <si>
    <t xml:space="preserve">波動を上げなきゃ疲れ</t>
  </si>
  <si>
    <t xml:space="preserve">「波動を上げなきゃ」と思った瞬間、私の波動はいちばん下がっていた。</t>
  </si>
  <si>
    <t xml:space="preserve">波動を上げようとするほど、波動は下がる。</t>
  </si>
  <si>
    <t xml:space="preserve">イライラしている自分に「波動が下がる！」と焦って、さらにイライラした。</t>
  </si>
  <si>
    <t xml:space="preserve">波動を上げなきゃ。
いい気分でいなきゃ。
ネガティブに負けちゃダメ。
頑張るほど、苦しくなる。
焦るほど、ネガティブが増える。
上げようとするほど、下がる。
消そうとするほど、残る。</t>
  </si>
  <si>
    <t xml:space="preserve">逆にしたら、楽になった。
イライラは、出していい。
ムカつきは、書いていい。
出しきった後の“からっぽ”が、
私にとっての一番いい波動だった。
「いい気分でいなきゃ」は、私の新しい呪いだった。</t>
  </si>
  <si>
    <t xml:space="preserve">「〜しなきゃ」で一番しんどかったスピ・自己啓発ルールは？</t>
  </si>
  <si>
    <r>
      <rPr>
        <sz val="10"/>
        <color rgb="FF000000"/>
        <rFont val="Arial"/>
        <family val="0"/>
        <charset val="1"/>
      </rPr>
      <t xml:space="preserve">@yama_reself</t>
    </r>
    <r>
      <rPr>
        <sz val="10"/>
        <color rgb="FF000000"/>
        <rFont val="WenQuanYi Zen Hei"/>
        <family val="2"/>
      </rPr>
      <t xml:space="preserve">（この世界は、ぜんぶ逆）</t>
    </r>
  </si>
  <si>
    <t xml:space="preserve">界隈あるある共感の拡散</t>
  </si>
  <si>
    <t xml:space="preserve">妄想中の雑念</t>
  </si>
  <si>
    <t xml:space="preserve">妄想しようとすると、昔言われた悪口が割り込んでくる。それが私の毎日だった。</t>
  </si>
  <si>
    <t xml:space="preserve">妄想がうまくいかないのは、想像力が足りないからじゃない。</t>
  </si>
  <si>
    <r>
      <rPr>
        <sz val="10"/>
        <color rgb="FF000000"/>
        <rFont val="WenQuanYi Zen Hei"/>
        <family val="2"/>
      </rPr>
      <t xml:space="preserve">目を閉じて、叶った自分を思い浮かべた。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秒後、「お前には無理」という声がした。</t>
    </r>
  </si>
  <si>
    <t xml:space="preserve">叶った未来を妄想しようとすると、
頭の中で声がする。
「どうせ無理」
「あの時もダメだったじゃん」
「あんたなんか」
昔言われ続けた言葉が、
妄想のど真ん中に割り込んでくる。</t>
  </si>
  <si>
    <t xml:space="preserve">だから私は、妄想の前に“毒出し”をする。
割り込んでくる声を、先に全部書く。
「誰に言われた言葉？」まで書く。
それが自分の声じゃないとわかると、
妄想の世界に入れるようになった。
妄想が下手なんじゃない。
先に片づけるものがあっただけ。</t>
  </si>
  <si>
    <t xml:space="preserve">妄想中に聞こえる「あの声」、誰の声？</t>
  </si>
  <si>
    <t xml:space="preserve">妄想に入る前の準備はプロフィールのノート術にまとめてます</t>
  </si>
  <si>
    <r>
      <rPr>
        <sz val="10"/>
        <color rgb="FF000000"/>
        <rFont val="Arial"/>
        <family val="0"/>
        <charset val="1"/>
      </rPr>
      <t xml:space="preserve">@reirei_aoyama 203,554</t>
    </r>
    <r>
      <rPr>
        <sz val="10"/>
        <color rgb="FF000000"/>
        <rFont val="WenQuanYi Zen Hei"/>
        <family val="2"/>
      </rPr>
      <t xml:space="preserve">閲覧（潜在意識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身体反応）</t>
    </r>
  </si>
  <si>
    <t xml:space="preserve">妄想テーマへの移行期の反応</t>
  </si>
  <si>
    <t xml:space="preserve">断った後の罪悪感</t>
  </si>
  <si>
    <r>
      <rPr>
        <sz val="10"/>
        <color rgb="FF000000"/>
        <rFont val="WenQuanYi Zen Hei"/>
        <family val="2"/>
      </rPr>
      <t xml:space="preserve">誘いを断ったあと、相手の</t>
    </r>
    <r>
      <rPr>
        <sz val="10"/>
        <color rgb="FF000000"/>
        <rFont val="Arial"/>
        <family val="0"/>
        <charset val="1"/>
      </rPr>
      <t xml:space="preserve">LINE</t>
    </r>
    <r>
      <rPr>
        <sz val="10"/>
        <color rgb="FF000000"/>
        <rFont val="WenQuanYi Zen Hei"/>
        <family val="2"/>
      </rPr>
      <t xml:space="preserve">のアイコンを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回見に行った。</t>
    </r>
  </si>
  <si>
    <t xml:space="preserve">断れないのは優しいからじゃない。嫌われた後を想像しすぎるから。</t>
  </si>
  <si>
    <r>
      <rPr>
        <sz val="10"/>
        <color rgb="FF000000"/>
        <rFont val="WenQuanYi Zen Hei"/>
        <family val="2"/>
      </rPr>
      <t xml:space="preserve">「ごめん、その日は無理」送信。そこから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時間、スマホを裏返せなかった。</t>
    </r>
  </si>
  <si>
    <r>
      <rPr>
        <sz val="10"/>
        <color rgb="FF000000"/>
        <rFont val="WenQuanYi Zen Hei"/>
        <family val="2"/>
      </rPr>
      <t xml:space="preserve">断れない人チェック
□ 断る理由を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つ用意してから送る
□ 送った後、既読がつくまで落ち着かない
□ 相手の</t>
    </r>
    <r>
      <rPr>
        <sz val="10"/>
        <color rgb="FF000000"/>
        <rFont val="Arial"/>
        <family val="0"/>
        <charset val="1"/>
      </rPr>
      <t xml:space="preserve">SNS</t>
    </r>
    <r>
      <rPr>
        <sz val="10"/>
        <color rgb="FF000000"/>
        <rFont val="WenQuanYi Zen Hei"/>
        <family val="2"/>
      </rPr>
      <t xml:space="preserve">を見て怒ってないか確認
□ 次に会う時、余計に気を遣う
□ 結局「やっぱり行ける」と言ってしまう</t>
    </r>
  </si>
  <si>
    <t xml:space="preserve">私は全部やってた。
断ることより、
断った後の“頭の中の裁判”が長かった。
今はシンプル。
「行きたくない」は理由にしていい。
断った後の罪悪感は、ノートに出す。
「本当は、何が怖い？」</t>
  </si>
  <si>
    <t xml:space="preserve">いくつ当てはまった？断った後にやっちゃうこと、他にもある？</t>
  </si>
  <si>
    <r>
      <rPr>
        <sz val="10"/>
        <color rgb="FF000000"/>
        <rFont val="Arial"/>
        <family val="0"/>
        <charset val="1"/>
      </rPr>
      <t xml:space="preserve">@asa_jikorikai</t>
    </r>
    <r>
      <rPr>
        <sz val="10"/>
        <color rgb="FF000000"/>
        <rFont val="WenQuanYi Zen Hei"/>
        <family val="2"/>
      </rPr>
      <t xml:space="preserve">（他人軸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問い）</t>
    </r>
  </si>
  <si>
    <t xml:space="preserve">浅い悩みの診断型 再現性</t>
  </si>
  <si>
    <t xml:space="preserve">大きな願望と現実のギャップ</t>
  </si>
  <si>
    <r>
      <rPr>
        <sz val="10"/>
        <color rgb="FF000000"/>
        <rFont val="WenQuanYi Zen Hei"/>
        <family val="2"/>
      </rPr>
      <t xml:space="preserve">貯金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万円の現実が、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億円の妄想を毎回笑ってくる。</t>
    </r>
  </si>
  <si>
    <t xml:space="preserve">引き寄せ初心者のビギナーズラックは、浅いところしか変わっていない。</t>
  </si>
  <si>
    <r>
      <rPr>
        <sz val="10"/>
        <color rgb="FF000000"/>
        <rFont val="WenQuanYi Zen Hei"/>
        <family val="2"/>
      </rPr>
      <t xml:space="preserve">「年収が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万上がりました」は、潜在意識の力じゃないと思っている。</t>
    </r>
  </si>
  <si>
    <r>
      <rPr>
        <sz val="10"/>
        <color rgb="FF000000"/>
        <rFont val="WenQuanYi Zen Hei"/>
        <family val="2"/>
      </rPr>
      <t xml:space="preserve">妄想の中では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億円。
目を開けたら貯金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万円。
リアルの方が強すぎて、
脳が毎回「はいはい」って笑ってくる。
引き寄せを始めた最初は、
小さなことは叶う。ビギナーズラック。
でも深いところは、そのままだった。</t>
    </r>
  </si>
  <si>
    <r>
      <rPr>
        <sz val="10"/>
        <color rgb="FF000000"/>
        <rFont val="WenQuanYi Zen Hei"/>
        <family val="2"/>
      </rPr>
      <t xml:space="preserve">気づいたのは、
“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分の妄想”じゃ現実に勝てないこと。
まず現実の不安を全部吐き出す。
今“ある”ものを認める。
それから、リアル以上にリアルな妄想に浸る。
順番を守った人だけが、
コンフォートゾーンを抜けていく気がする。（私の実感です）</t>
    </r>
  </si>
  <si>
    <t xml:space="preserve">妄想の中の金額と現実の金額、差はどれくらい？</t>
  </si>
  <si>
    <r>
      <rPr>
        <sz val="10"/>
        <color rgb="FF000000"/>
        <rFont val="Arial"/>
        <family val="0"/>
        <charset val="1"/>
      </rPr>
      <t xml:space="preserve">@ruri_reishi888 150,855</t>
    </r>
    <r>
      <rPr>
        <sz val="10"/>
        <color rgb="FF000000"/>
        <rFont val="WenQuanYi Zen Hei"/>
        <family val="2"/>
      </rPr>
      <t xml:space="preserve">閲覧（引き寄せの誤解）</t>
    </r>
  </si>
  <si>
    <t xml:space="preserve">大願望テーマの信頼性リスク確認（コメントの質）</t>
  </si>
  <si>
    <t xml:space="preserve">他人軸の恋愛</t>
  </si>
  <si>
    <r>
      <rPr>
        <sz val="10"/>
        <color rgb="FF000000"/>
        <rFont val="WenQuanYi Zen Hei"/>
        <family val="2"/>
      </rPr>
      <t xml:space="preserve">彼の気持ちは占いで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回聞いた。自分の気持ちは、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回も聞いていなかった。</t>
    </r>
  </si>
  <si>
    <t xml:space="preserve">「彼は私をどう思ってる？」を考える人ほど、恋愛がうまくいかない。</t>
  </si>
  <si>
    <r>
      <rPr>
        <sz val="10"/>
        <color rgb="FF000000"/>
        <rFont val="WenQuanYi Zen Hei"/>
        <family val="2"/>
      </rPr>
      <t xml:space="preserve">彼の</t>
    </r>
    <r>
      <rPr>
        <sz val="10"/>
        <color rgb="FF000000"/>
        <rFont val="Arial"/>
        <family val="0"/>
        <charset val="1"/>
      </rPr>
      <t xml:space="preserve">SNS</t>
    </r>
    <r>
      <rPr>
        <sz val="10"/>
        <color rgb="FF000000"/>
        <rFont val="WenQuanYi Zen Hei"/>
        <family val="2"/>
      </rPr>
      <t xml:space="preserve">を開いては閉じて、を朝まで繰り返していた。</t>
    </r>
  </si>
  <si>
    <r>
      <rPr>
        <sz val="10"/>
        <color rgb="FF000000"/>
        <rFont val="WenQuanYi Zen Hei"/>
        <family val="2"/>
      </rPr>
      <t xml:space="preserve">「彼は私のこと、どう思ってる？」
この質問ばかりしていた頃、
私の恋愛はずっと苦しかった。
占い、タロット、友達、</t>
    </r>
    <r>
      <rPr>
        <sz val="10"/>
        <color rgb="FF000000"/>
        <rFont val="Arial"/>
        <family val="0"/>
        <charset val="1"/>
      </rPr>
      <t xml:space="preserve">SNS</t>
    </r>
    <r>
      <rPr>
        <sz val="10"/>
        <color rgb="FF000000"/>
        <rFont val="WenQuanYi Zen Hei"/>
        <family val="2"/>
      </rPr>
      <t xml:space="preserve">。
彼の気持ちを知る方法は全部試した。</t>
    </r>
  </si>
  <si>
    <t xml:space="preserve">でも一度も
「私は、彼とどうなりたい？」
を聞いていなかった。
戻りたいのか、
拒絶された自分を取り戻したいのか。
それすら分からなかった。
恋愛の妄想は、
“彼の気持ち”じゃなく“私の気持ち”から始める。</t>
  </si>
  <si>
    <r>
      <rPr>
        <sz val="10"/>
        <color rgb="FF000000"/>
        <rFont val="WenQuanYi Zen Hei"/>
        <family val="2"/>
      </rPr>
      <t xml:space="preserve">今の恋愛で、本当はどうしたい？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行でいいから書いてみて。</t>
    </r>
  </si>
  <si>
    <t xml:space="preserve">恋愛の本音ノートは個別相談でも一緒に書いています（プロフィールから）</t>
  </si>
  <si>
    <r>
      <rPr>
        <sz val="10"/>
        <color rgb="FF000000"/>
        <rFont val="Arial"/>
        <family val="0"/>
        <charset val="1"/>
      </rPr>
      <t xml:space="preserve">@sora411114</t>
    </r>
    <r>
      <rPr>
        <sz val="10"/>
        <color rgb="FF000000"/>
        <rFont val="WenQuanYi Zen Hei"/>
        <family val="2"/>
      </rPr>
      <t xml:space="preserve">（恋愛不安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自分軸）</t>
    </r>
  </si>
  <si>
    <t xml:space="preserve">恋愛層→個別相談の導線テスト</t>
  </si>
  <si>
    <t xml:space="preserve">詐欺被害・人の親切が怖い</t>
  </si>
  <si>
    <r>
      <rPr>
        <sz val="10"/>
        <color rgb="FF000000"/>
        <rFont val="Arial"/>
        <family val="0"/>
        <charset val="1"/>
      </rPr>
      <t xml:space="preserve">700</t>
    </r>
    <r>
      <rPr>
        <sz val="10"/>
        <color rgb="FF000000"/>
        <rFont val="WenQuanYi Zen Hei"/>
        <family val="2"/>
      </rPr>
      <t xml:space="preserve">万円をだまし取られてから、人の親切まで怖くなった。</t>
    </r>
  </si>
  <si>
    <t xml:space="preserve">「人を信じられない」のは、心が弱いからじゃない。</t>
  </si>
  <si>
    <t xml:space="preserve">優しくされると「何が目的？」と考えるようになった。</t>
  </si>
  <si>
    <r>
      <rPr>
        <sz val="10"/>
        <color rgb="FF000000"/>
        <rFont val="Arial"/>
        <family val="0"/>
        <charset val="1"/>
      </rPr>
      <t xml:space="preserve">700</t>
    </r>
    <r>
      <rPr>
        <sz val="10"/>
        <color rgb="FF000000"/>
        <rFont val="WenQuanYi Zen Hei"/>
        <family val="2"/>
      </rPr>
      <t xml:space="preserve">万円を失った。
お金より失ったのは、
人の親切を受け取る力だった。
優しくされると「何が目的？」
褒められると「何か売られる？」
人を信じない方が、安全だと思ってた。</t>
    </r>
  </si>
  <si>
    <r>
      <rPr>
        <sz val="10"/>
        <color rgb="FF000000"/>
        <rFont val="WenQuanYi Zen Hei"/>
        <family val="2"/>
      </rPr>
      <t xml:space="preserve">でも、誰も信じない毎日は
すごく静かで、すごく寂しかった。
人を信じる前に、まず
「自分の感覚」を信じ直すところから始めた。
毎晩ノートに、今日の“違和感”と“安心”を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つずつ。
それだけで、人を見る目が戻ってきた。</t>
    </r>
  </si>
  <si>
    <t xml:space="preserve">人を信じられなくなったきっかけ、ある？言える範囲で。</t>
  </si>
  <si>
    <r>
      <rPr>
        <sz val="10"/>
        <color rgb="FF000000"/>
        <rFont val="Arial"/>
        <family val="0"/>
        <charset val="1"/>
      </rPr>
      <t xml:space="preserve">@chihochihoko 121,845</t>
    </r>
    <r>
      <rPr>
        <sz val="10"/>
        <color rgb="FF000000"/>
        <rFont val="WenQuanYi Zen Hei"/>
        <family val="2"/>
      </rPr>
      <t xml:space="preserve">閲覧（強い主張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体験）</t>
    </r>
  </si>
  <si>
    <r>
      <rPr>
        <sz val="10"/>
        <color rgb="FF000000"/>
        <rFont val="WenQuanYi Zen Hei"/>
        <family val="2"/>
      </rPr>
      <t xml:space="preserve">深い悩みへの共感・</t>
    </r>
    <r>
      <rPr>
        <sz val="10"/>
        <color rgb="FF000000"/>
        <rFont val="Arial"/>
        <family val="0"/>
        <charset val="1"/>
      </rPr>
      <t xml:space="preserve">DM</t>
    </r>
    <r>
      <rPr>
        <sz val="10"/>
        <color rgb="FF000000"/>
        <rFont val="WenQuanYi Zen Hei"/>
        <family val="2"/>
      </rPr>
      <t xml:space="preserve">発生</t>
    </r>
  </si>
  <si>
    <t xml:space="preserve">感情と事実を分ける</t>
  </si>
  <si>
    <r>
      <rPr>
        <sz val="10"/>
        <color rgb="FF000000"/>
        <rFont val="WenQuanYi Zen Hei"/>
        <family val="2"/>
      </rPr>
      <t xml:space="preserve">「嫌われた」と思った出来事、事実だけ書いたら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行しかなかった。</t>
    </r>
  </si>
  <si>
    <r>
      <rPr>
        <sz val="10"/>
        <color rgb="FF000000"/>
        <rFont val="WenQuanYi Zen Hei"/>
        <family val="2"/>
      </rPr>
      <t xml:space="preserve">「嫌われたかも」の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割は、事実じゃなく脚本。</t>
    </r>
  </si>
  <si>
    <t xml:space="preserve">上司の「ちょっといい？」で、私の頭の中では解雇まで進んでいた。</t>
  </si>
  <si>
    <t xml:space="preserve">「嫌われたかも」と思った時のノート術。
左：事実
「既読がついて半日返信がない」
右：頭の中のストーリー
「怒らせた」「もう誘われない」「私が悪い」「みんなに言われてる」</t>
  </si>
  <si>
    <r>
      <rPr>
        <sz val="10"/>
        <color rgb="FF000000"/>
        <rFont val="WenQuanYi Zen Hei"/>
        <family val="2"/>
      </rPr>
      <t xml:space="preserve">左は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行。右は止まらない。
苦しいのは出来事じゃなく、
右側の“脚本”の方だった。
脚本は、消さなくていい。
書いて「これは脚本」とラベルを貼るだけ。
それだけで、頭の中の音量が半分になる。</t>
    </r>
  </si>
  <si>
    <t xml:space="preserve">最近「嫌われたかも」と思った出来事、事実だけで書くと何行？</t>
  </si>
  <si>
    <t xml:space="preserve">事実と脚本を分けるノートは固定投稿にまとめてます</t>
  </si>
  <si>
    <r>
      <rPr>
        <sz val="10"/>
        <color rgb="FF000000"/>
        <rFont val="Arial"/>
        <family val="0"/>
        <charset val="1"/>
      </rPr>
      <t xml:space="preserve">@sora411114</t>
    </r>
    <r>
      <rPr>
        <sz val="10"/>
        <color rgb="FF000000"/>
        <rFont val="WenQuanYi Zen Hei"/>
        <family val="2"/>
      </rPr>
      <t xml:space="preserve">（思考と身体の不一致）</t>
    </r>
  </si>
  <si>
    <t xml:space="preserve">保存型ノウハウの朝投稿</t>
  </si>
  <si>
    <t xml:space="preserve">自愛のつもりで自分を監視</t>
  </si>
  <si>
    <r>
      <rPr>
        <sz val="10"/>
        <color rgb="FF000000"/>
        <rFont val="WenQuanYi Zen Hei"/>
        <family val="2"/>
      </rPr>
      <t xml:space="preserve">「自分を愛しましょう」を頑張った結果、私は自分を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時間監視していた。</t>
    </r>
  </si>
  <si>
    <t xml:space="preserve">自愛を頑張るほど、自分を責めるのが上手になる。</t>
  </si>
  <si>
    <t xml:space="preserve">「あ、今ネガティブ思考した」と気づくたび、ダメ出ししていた。</t>
  </si>
  <si>
    <r>
      <rPr>
        <sz val="10"/>
        <color rgb="FF000000"/>
        <rFont val="WenQuanYi Zen Hei"/>
        <family val="2"/>
      </rPr>
      <t xml:space="preserve">自分を愛そう。
ネガティブ禁止。
今の言葉、自己否定だった。
あ、また人と比べた。
自愛してるつもりで、
私は自分を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時間監視していた。
愛してたんじゃない。
採点してた。</t>
    </r>
  </si>
  <si>
    <t xml:space="preserve">本当の自愛は、たぶんもっと雑。
「性格悪いこと考えたな、まぁいっか」
どんな悪魔みたいな思考が出ても、
否定しない。直そうとしない。
ノートに書いて、閉じる。
それだけで、自分といるのが楽になった。</t>
  </si>
  <si>
    <t xml:space="preserve">自分にかけてた「ダメ出し」、一番多かったのは？</t>
  </si>
  <si>
    <r>
      <rPr>
        <sz val="10"/>
        <color rgb="FF000000"/>
        <rFont val="Arial"/>
        <family val="0"/>
        <charset val="1"/>
      </rPr>
      <t xml:space="preserve">@mikari_neisan</t>
    </r>
    <r>
      <rPr>
        <sz val="10"/>
        <color rgb="FF000000"/>
        <rFont val="WenQuanYi Zen Hei"/>
        <family val="2"/>
      </rPr>
      <t xml:space="preserve">（整ったふり）</t>
    </r>
  </si>
  <si>
    <t xml:space="preserve">自愛テーマの共感</t>
  </si>
  <si>
    <t xml:space="preserve">妄想（イメージング）のやり方</t>
  </si>
  <si>
    <r>
      <rPr>
        <sz val="10"/>
        <color rgb="FF000000"/>
        <rFont val="WenQuanYi Zen Hei"/>
        <family val="2"/>
      </rPr>
      <t xml:space="preserve">毒を全部吐いたあとにやる妄想は、同じ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分でも濃さがまったく違った。</t>
    </r>
  </si>
  <si>
    <t xml:space="preserve">妄想は「目を閉じて想像する」だけじゃ足りない。</t>
  </si>
  <si>
    <r>
      <rPr>
        <sz val="10"/>
        <color rgb="FF000000"/>
        <rFont val="WenQuanYi Zen Hei"/>
        <family val="2"/>
      </rPr>
      <t xml:space="preserve">ネガティブが強い人のための、妄想の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ステップ。保存版。</t>
    </r>
  </si>
  <si>
    <r>
      <rPr>
        <sz val="10"/>
        <color rgb="FF000000"/>
        <rFont val="WenQuanYi Zen Hei"/>
        <family val="2"/>
      </rPr>
      <t xml:space="preserve">吐き出した後にやる、妄想の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ステップ
①場所を決める（どこにいる？朝？夜？）
②五感を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つずつ足す（匂い・音・手ざわり）
③“その時の私のひと言”を声に出す
「やっぱりね、知ってた」</t>
    </r>
  </si>
  <si>
    <r>
      <rPr>
        <sz val="10"/>
        <color rgb="FF000000"/>
        <rFont val="WenQuanYi Zen Hei"/>
        <family val="2"/>
      </rPr>
      <t xml:space="preserve">コツは、
叶った瞬間じゃなく
“叶った後の普通の日”を描くこと。
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億円入った瞬間より、
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億円ある生活の、なんでもない火曜日。
先に毒を出しておくと、
雑念が入らずにここまで浸れる。</t>
    </r>
  </si>
  <si>
    <t xml:space="preserve">叶った後の「なんでもない火曜日」、あなたは何してる？</t>
  </si>
  <si>
    <t xml:space="preserve">吐く→ある→妄想の全ステップはプロフィールのリンクから</t>
  </si>
  <si>
    <r>
      <rPr>
        <sz val="10"/>
        <color rgb="FF000000"/>
        <rFont val="Arial"/>
        <family val="0"/>
        <charset val="1"/>
      </rPr>
      <t xml:space="preserve">@reirei_aoyama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ステップ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即効性）</t>
    </r>
  </si>
  <si>
    <t xml:space="preserve">妄想ノウハウの保存・プロフ遷移</t>
  </si>
  <si>
    <t xml:space="preserve">いい人をやめる</t>
  </si>
  <si>
    <t xml:space="preserve">性格の悪い本音を認めた日から、いい人を演じる必要がなくなった。</t>
  </si>
  <si>
    <t xml:space="preserve">「いい人」をやめた方が、人間関係はうまくいく。</t>
  </si>
  <si>
    <t xml:space="preserve">「いい人ですね」と言われるたび、心の中で舌打ちしていた。</t>
  </si>
  <si>
    <t xml:space="preserve">「いい人ですね」
そう言われるたび、内心は
「疲れてるんだけど」だった。
人をランク付けして、
上の人には気を遣い、
下だと思った人を見下して。
そんな自分が一番嫌いだった。</t>
  </si>
  <si>
    <t xml:space="preserve">でも、ランク付けをやめたら
自分のランクも気にならなくなった。
損得じゃなく、自分の感情で選ぶ。
否定してくる人は、華麗にスルー。
性格の悪い本音を認めたら、
いい人のふりをしなくてよくなった。</t>
  </si>
  <si>
    <r>
      <rPr>
        <sz val="10"/>
        <color rgb="FF000000"/>
        <rFont val="WenQuanYi Zen Hei"/>
        <family val="2"/>
      </rPr>
      <t xml:space="preserve">「いい人」をやめたいこと、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つ挙げるなら？</t>
    </r>
  </si>
  <si>
    <r>
      <rPr>
        <sz val="10"/>
        <color rgb="FF000000"/>
        <rFont val="Arial"/>
        <family val="0"/>
        <charset val="1"/>
      </rPr>
      <t xml:space="preserve">@yama_reself</t>
    </r>
    <r>
      <rPr>
        <sz val="10"/>
        <color rgb="FF000000"/>
        <rFont val="WenQuanYi Zen Hei"/>
        <family val="2"/>
      </rPr>
      <t xml:space="preserve">（受け取り・遠慮）</t>
    </r>
  </si>
  <si>
    <t xml:space="preserve">本音暴露の総括・フォロー転換</t>
  </si>
  <si>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日の総まとめ→個別相談</t>
    </r>
  </si>
  <si>
    <t xml:space="preserve">私が変わったのは、ポジティブになれた日じゃなかった。</t>
  </si>
  <si>
    <t xml:space="preserve">超ネガティブな人は、ポジティブにならなくても変われる。</t>
  </si>
  <si>
    <t xml:space="preserve">毎日泣いていた私が、泣かずに過去を話せるようになった。その間にやったこと。</t>
  </si>
  <si>
    <t xml:space="preserve">私が変わったのは、
ポジティブになれた日じゃない。
ノートに「ふざけんな」と書けた日。
人の幸せに嫉妬した自分を許せた日。
行きたくない食事を断れた日。
ネガティブを消さずに、出しきった日だった。</t>
  </si>
  <si>
    <t xml:space="preserve">吐く → 分ける → あるを見る → 望む → 妄想する
この順番で、私は自分を取り戻してきた。
一人でノートを書くのがしんどい人へ。
個別相談で、あなたの本音を一緒に書き出すところから伴走しています。
詳細はプロフィールから。</t>
  </si>
  <si>
    <r>
      <rPr>
        <sz val="10"/>
        <color rgb="FF000000"/>
        <rFont val="WenQuanYi Zen Hei"/>
        <family val="2"/>
      </rPr>
      <t xml:space="preserve">この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日で、一番刺さった投稿を教えてください。</t>
    </r>
  </si>
  <si>
    <t xml:space="preserve">個別相談（伴走型コーチング）の案内はプロフィールのリンクから</t>
  </si>
  <si>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連載総まとめ型</t>
    </r>
  </si>
  <si>
    <r>
      <rPr>
        <sz val="10"/>
        <color rgb="FF000000"/>
        <rFont val="Arial"/>
        <family val="0"/>
        <charset val="1"/>
      </rPr>
      <t xml:space="preserve">@mirai.melife</t>
    </r>
    <r>
      <rPr>
        <sz val="10"/>
        <color rgb="FF000000"/>
        <rFont val="WenQuanYi Zen Hei"/>
        <family val="2"/>
      </rPr>
      <t xml:space="preserve">（ノウハウ→商品導線）</t>
    </r>
  </si>
  <si>
    <t xml:space="preserve">個別相談申込数</t>
  </si>
  <si>
    <r>
      <rPr>
        <sz val="9"/>
        <color rgb="FF666666"/>
        <rFont val="WenQuanYi Zen Hei"/>
        <family val="2"/>
      </rPr>
      <t xml:space="preserve">※ 反応率＝（いいね＋返信＋リポスト）</t>
    </r>
    <r>
      <rPr>
        <sz val="9"/>
        <color rgb="FF666666"/>
        <rFont val="Arial"/>
        <family val="0"/>
        <charset val="1"/>
      </rPr>
      <t xml:space="preserve">÷</t>
    </r>
    <r>
      <rPr>
        <sz val="9"/>
        <color rgb="FF666666"/>
        <rFont val="WenQuanYi Zen Hei"/>
        <family val="2"/>
      </rPr>
      <t xml:space="preserve">閲覧。</t>
    </r>
    <r>
      <rPr>
        <sz val="9"/>
        <color rgb="FF666666"/>
        <rFont val="Arial"/>
        <family val="0"/>
        <charset val="1"/>
      </rPr>
      <t xml:space="preserve">5</t>
    </r>
    <r>
      <rPr>
        <sz val="9"/>
        <color rgb="FF666666"/>
        <rFont val="WenQuanYi Zen Hei"/>
        <family val="2"/>
      </rPr>
      <t xml:space="preserve">％以上は緑表示。閲覧</t>
    </r>
    <r>
      <rPr>
        <sz val="9"/>
        <color rgb="FF666666"/>
        <rFont val="Arial"/>
        <family val="0"/>
        <charset val="1"/>
      </rPr>
      <t xml:space="preserve">3,000</t>
    </r>
    <r>
      <rPr>
        <sz val="9"/>
        <color rgb="FF666666"/>
        <rFont val="WenQuanYi Zen Hei"/>
        <family val="2"/>
      </rPr>
      <t xml:space="preserve">超 </t>
    </r>
    <r>
      <rPr>
        <sz val="9"/>
        <color rgb="FF666666"/>
        <rFont val="Arial"/>
        <family val="0"/>
        <charset val="1"/>
      </rPr>
      <t xml:space="preserve">or </t>
    </r>
    <r>
      <rPr>
        <sz val="9"/>
        <color rgb="FF666666"/>
        <rFont val="WenQuanYi Zen Hei"/>
        <family val="2"/>
      </rPr>
      <t xml:space="preserve">反応率</t>
    </r>
    <r>
      <rPr>
        <sz val="9"/>
        <color rgb="FF666666"/>
        <rFont val="Arial"/>
        <family val="0"/>
        <charset val="1"/>
      </rPr>
      <t xml:space="preserve">5</t>
    </r>
    <r>
      <rPr>
        <sz val="9"/>
        <color rgb="FF666666"/>
        <rFont val="WenQuanYi Zen Hei"/>
        <family val="2"/>
      </rPr>
      <t xml:space="preserve">％超のテーマは「バズ投稿</t>
    </r>
    <r>
      <rPr>
        <sz val="9"/>
        <color rgb="FF666666"/>
        <rFont val="Arial"/>
        <family val="0"/>
        <charset val="1"/>
      </rPr>
      <t xml:space="preserve">100</t>
    </r>
    <r>
      <rPr>
        <sz val="9"/>
        <color rgb="FF666666"/>
        <rFont val="WenQuanYi Zen Hei"/>
        <family val="2"/>
      </rPr>
      <t xml:space="preserve">」から同カテゴリを追加投入。</t>
    </r>
  </si>
  <si>
    <r>
      <rPr>
        <sz val="9"/>
        <color rgb="FF666666"/>
        <rFont val="Arial"/>
        <family val="0"/>
        <charset val="1"/>
      </rPr>
      <t xml:space="preserve">※ Day4</t>
    </r>
    <r>
      <rPr>
        <sz val="9"/>
        <color rgb="FF666666"/>
        <rFont val="WenQuanYi Zen Hei"/>
        <family val="2"/>
      </rPr>
      <t xml:space="preserve">・</t>
    </r>
    <r>
      <rPr>
        <sz val="9"/>
        <color rgb="FF666666"/>
        <rFont val="Arial"/>
        <family val="0"/>
        <charset val="1"/>
      </rPr>
      <t xml:space="preserve">12</t>
    </r>
    <r>
      <rPr>
        <sz val="9"/>
        <color rgb="FF666666"/>
        <rFont val="WenQuanYi Zen Hei"/>
        <family val="2"/>
      </rPr>
      <t xml:space="preserve">などの健康／メンタルに触れる投稿は、注意書き（医療機関・専門家への相談）を残してください。</t>
    </r>
  </si>
  <si>
    <t xml:space="preserve">投稿構造パターン｜プロフィールクリックまでの順番</t>
  </si>
  <si>
    <r>
      <rPr>
        <sz val="9"/>
        <color rgb="FF666666"/>
        <rFont val="WenQuanYi Zen Hei"/>
        <family val="2"/>
      </rPr>
      <t xml:space="preserve">標準構造（</t>
    </r>
    <r>
      <rPr>
        <sz val="9"/>
        <color rgb="FF666666"/>
        <rFont val="Arial"/>
        <family val="0"/>
        <charset val="1"/>
      </rPr>
      <t xml:space="preserve">S1</t>
    </r>
    <r>
      <rPr>
        <sz val="9"/>
        <color rgb="FF666666"/>
        <rFont val="WenQuanYi Zen Hei"/>
        <family val="2"/>
      </rPr>
      <t xml:space="preserve">）以外に、競合バズ投稿でプロフ遷移が想定される別構造を提示</t>
    </r>
  </si>
  <si>
    <t xml:space="preserve">文章の順番</t>
  </si>
  <si>
    <t xml:space="preserve">プロフィールクリックへの効き方</t>
  </si>
  <si>
    <t xml:space="preserve">使った投稿例</t>
  </si>
  <si>
    <t xml:space="preserve">参考</t>
  </si>
  <si>
    <r>
      <rPr>
        <sz val="10"/>
        <color rgb="FF000000"/>
        <rFont val="Arial"/>
        <family val="0"/>
        <charset val="1"/>
      </rPr>
      <t xml:space="preserve">S1 </t>
    </r>
    <r>
      <rPr>
        <sz val="10"/>
        <color rgb="FF000000"/>
        <rFont val="WenQuanYi Zen Hei"/>
        <family val="2"/>
      </rPr>
      <t xml:space="preserve">標準：場面告白型</t>
    </r>
  </si>
  <si>
    <r>
      <rPr>
        <sz val="10"/>
        <color rgb="FF000000"/>
        <rFont val="WenQuanYi Zen Hei"/>
        <family val="2"/>
      </rPr>
      <t xml:space="preserve">①衝撃の冒頭（事実）→②具体的な場面→③その時の性格の悪い本音→④気づき（反転）→⑤今日できる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つ→⑥コメント質問</t>
    </r>
  </si>
  <si>
    <t xml:space="preserve">共感→自分ごと化。コメントは増えるが、プロフ遷移は「この人の他の投稿も読みたい」次第</t>
  </si>
  <si>
    <t xml:space="preserve">焼肉／消しゴム／占い</t>
  </si>
  <si>
    <r>
      <rPr>
        <sz val="10"/>
        <color rgb="FF000000"/>
        <rFont val="WenQuanYi Zen Hei"/>
        <family val="2"/>
      </rPr>
      <t xml:space="preserve">現アカ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位</t>
    </r>
  </si>
  <si>
    <r>
      <rPr>
        <sz val="10"/>
        <color rgb="FF000000"/>
        <rFont val="WenQuanYi Zen Hei"/>
        <family val="2"/>
      </rPr>
      <t xml:space="preserve">①常識に反する告白（〜したのに変わらなかった）→②やったことの具体→③本当の原因（反転）→④倫子式の順番を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行で→⑤質問</t>
    </r>
  </si>
  <si>
    <t xml:space="preserve">「この人だけ違うことを言う」でプロフを見に来る。差別化が最も効く</t>
  </si>
  <si>
    <r>
      <rPr>
        <sz val="10"/>
        <color rgb="FF000000"/>
        <rFont val="WenQuanYi Zen Hei"/>
        <family val="2"/>
      </rPr>
      <t xml:space="preserve">アファメーション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年／脳梗塞</t>
    </r>
  </si>
  <si>
    <r>
      <rPr>
        <sz val="10"/>
        <color rgb="FF000000"/>
        <rFont val="Arial"/>
        <family val="0"/>
        <charset val="1"/>
      </rPr>
      <t xml:space="preserve">@sora411114</t>
    </r>
    <r>
      <rPr>
        <sz val="10"/>
        <color rgb="FF000000"/>
        <rFont val="WenQuanYi Zen Hei"/>
        <family val="2"/>
      </rPr>
      <t xml:space="preserve">・旧アカ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位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</si>
  <si>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WenQuanYi Zen Hei"/>
        <family val="2"/>
      </rPr>
      <t xml:space="preserve">ランキング・保存型</t>
    </r>
  </si>
  <si>
    <r>
      <rPr>
        <sz val="10"/>
        <color rgb="FF000000"/>
        <rFont val="WenQuanYi Zen Hei"/>
        <family val="2"/>
      </rPr>
      <t xml:space="preserve">①数字・実績フック→②🥉やめとけ→🥈無難→🥇本当に効く→③🥇の手順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つ→④「保存して今夜」→⑤テンプレはプロフから</t>
    </r>
  </si>
  <si>
    <t xml:space="preserve">保存数とプロフ遷移が最も伸びやすい。テンプレ配布で受け皿を作る</t>
  </si>
  <si>
    <r>
      <rPr>
        <sz val="10"/>
        <color rgb="FF000000"/>
        <rFont val="WenQuanYi Zen Hei"/>
        <family val="2"/>
      </rPr>
      <t xml:space="preserve">ジャーナリング何を書く／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分ノート</t>
    </r>
  </si>
  <si>
    <r>
      <rPr>
        <sz val="10"/>
        <color rgb="FF000000"/>
        <rFont val="Arial"/>
        <family val="0"/>
        <charset val="1"/>
      </rPr>
      <t xml:space="preserve">@grit_power00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@mirai.melife</t>
    </r>
  </si>
  <si>
    <r>
      <rPr>
        <sz val="10"/>
        <color rgb="FF000000"/>
        <rFont val="WenQuanYi Zen Hei"/>
        <family val="2"/>
      </rPr>
      <t xml:space="preserve">①シリーズ名＋衝撃の一言→②物語の山場まで書く→③答えを書かずに「（</t>
    </r>
    <r>
      <rPr>
        <sz val="10"/>
        <color rgb="FF000000"/>
        <rFont val="Arial"/>
        <family val="0"/>
        <charset val="1"/>
      </rPr>
      <t xml:space="preserve">1/3</t>
    </r>
    <r>
      <rPr>
        <sz val="10"/>
        <color rgb="FF000000"/>
        <rFont val="WenQuanYi Zen Hei"/>
        <family val="2"/>
      </rPr>
      <t xml:space="preserve">）続きはプロフから」</t>
    </r>
  </si>
  <si>
    <t xml:space="preserve">★標準構造と異なりプロフ遷移を“前提”にする構造。続きを固定投稿・ハイライトに置くとクリック率が上がる</t>
  </si>
  <si>
    <r>
      <rPr>
        <sz val="10"/>
        <color rgb="FF000000"/>
        <rFont val="WenQuanYi Zen Hei"/>
        <family val="2"/>
      </rPr>
      <t xml:space="preserve">講座落ちこぼれ編／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日総まとめ</t>
    </r>
  </si>
  <si>
    <r>
      <rPr>
        <sz val="10"/>
        <color rgb="FF000000"/>
        <rFont val="Arial"/>
        <family val="0"/>
        <charset val="1"/>
      </rPr>
      <t xml:space="preserve">@yamakawa.nobuto</t>
    </r>
    <r>
      <rPr>
        <sz val="10"/>
        <color rgb="FF000000"/>
        <rFont val="WenQuanYi Zen Hei"/>
        <family val="2"/>
      </rPr>
      <t xml:space="preserve">（未完の一行）</t>
    </r>
  </si>
  <si>
    <r>
      <rPr>
        <sz val="10"/>
        <color rgb="FF000000"/>
        <rFont val="WenQuanYi Zen Hei"/>
        <family val="2"/>
      </rPr>
      <t xml:space="preserve">①「あなたは何個当てはまる？」→②□チェック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つ→③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つ以上の人の正体→④自分は全部だった告白→⑤今日の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つ→⑥数字だけコメント</t>
    </r>
  </si>
  <si>
    <t xml:space="preserve">コメントのハードルが最低（数字だけ）。返信数→アルゴリズム拡散。プロフに「タイプ別の処方箋」を置くと遷移</t>
  </si>
  <si>
    <t xml:space="preserve">大丈夫なふり／断れない</t>
  </si>
  <si>
    <r>
      <rPr>
        <sz val="10"/>
        <color rgb="FF000000"/>
        <rFont val="Arial"/>
        <family val="0"/>
        <charset val="1"/>
      </rPr>
      <t xml:space="preserve">@asa_jikorikai 32</t>
    </r>
    <r>
      <rPr>
        <sz val="10"/>
        <color rgb="FF000000"/>
        <rFont val="WenQuanYi Zen Hei"/>
        <family val="2"/>
      </rPr>
      <t xml:space="preserve">万</t>
    </r>
  </si>
  <si>
    <r>
      <rPr>
        <sz val="10"/>
        <color rgb="FF000000"/>
        <rFont val="Arial"/>
        <family val="0"/>
        <charset val="1"/>
      </rPr>
      <t xml:space="preserve">S6 Q&amp;A</t>
    </r>
    <r>
      <rPr>
        <sz val="10"/>
        <color rgb="FF000000"/>
        <rFont val="WenQuanYi Zen Hei"/>
        <family val="2"/>
      </rPr>
      <t xml:space="preserve">・反論型</t>
    </r>
  </si>
  <si>
    <r>
      <rPr>
        <sz val="10"/>
        <color rgb="FF000000"/>
        <rFont val="WenQuanYi Zen Hei"/>
        <family val="2"/>
      </rPr>
      <t xml:space="preserve">①よくある反論を冒頭に（「書くと逆に苦しくなる」）→②半分正解と認める→③足りなかった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工程→④手順→⑤どっち派？</t>
    </r>
  </si>
  <si>
    <t xml:space="preserve">信頼構築。専門性が伝わりフォロー転換が高い</t>
  </si>
  <si>
    <r>
      <rPr>
        <sz val="10"/>
        <color rgb="FF000000"/>
        <rFont val="Arial"/>
        <family val="0"/>
        <charset val="1"/>
      </rPr>
      <t xml:space="preserve">@grit_power00</t>
    </r>
    <r>
      <rPr>
        <sz val="10"/>
        <color rgb="FF000000"/>
        <rFont val="WenQuanYi Zen Hei"/>
        <family val="2"/>
      </rPr>
      <t xml:space="preserve">への設計回答</t>
    </r>
  </si>
  <si>
    <r>
      <rPr>
        <sz val="10"/>
        <color rgb="FF000000"/>
        <rFont val="WenQuanYi Zen Hei"/>
        <family val="2"/>
      </rPr>
      <t xml:space="preserve">①短い反転文を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行連打（上げるほど下がる等）→②最後に一番大事な答え→③今日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回の行動</t>
    </r>
  </si>
  <si>
    <t xml:space="preserve">読了率が最も高い。リポストされやすい</t>
  </si>
  <si>
    <t xml:space="preserve">人の幸せを喜べない／波動</t>
  </si>
  <si>
    <r>
      <rPr>
        <sz val="10"/>
        <color rgb="FF000000"/>
        <rFont val="Arial"/>
        <family val="0"/>
        <charset val="1"/>
      </rPr>
      <t xml:space="preserve">@yama_reself 12.5</t>
    </r>
    <r>
      <rPr>
        <sz val="10"/>
        <color rgb="FF000000"/>
        <rFont val="WenQuanYi Zen Hei"/>
        <family val="2"/>
      </rPr>
      <t xml:space="preserve">万</t>
    </r>
  </si>
  <si>
    <t xml:space="preserve">①「どうせ最後まで読む人は少ないので本当のことを書きます」→②界隈の常識否定→③生々しいお金・人間関係の流れ→④自分が選び直した基準</t>
  </si>
  <si>
    <r>
      <rPr>
        <sz val="10"/>
        <color rgb="FF000000"/>
        <rFont val="WenQuanYi Zen Hei"/>
        <family val="2"/>
      </rPr>
      <t xml:space="preserve">読了率↑・最後まで読んだ人がプロフへ。月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回まで（多用すると型がバレる）</t>
    </r>
  </si>
  <si>
    <t xml:space="preserve">ワクワクで貯金を溶かした／感謝より本音</t>
  </si>
  <si>
    <r>
      <rPr>
        <sz val="10"/>
        <color rgb="FF000000"/>
        <rFont val="Arial"/>
        <family val="0"/>
        <charset val="1"/>
      </rPr>
      <t xml:space="preserve">@fufu___life 6</t>
    </r>
    <r>
      <rPr>
        <sz val="10"/>
        <color rgb="FF000000"/>
        <rFont val="WenQuanYi Zen Hei"/>
        <family val="2"/>
      </rPr>
      <t xml:space="preserve">万</t>
    </r>
  </si>
  <si>
    <t xml:space="preserve">■ 冒頭の作り方（衝撃の事実／常識破壊）</t>
  </si>
  <si>
    <t xml:space="preserve">型</t>
  </si>
  <si>
    <t xml:space="preserve">作り方</t>
  </si>
  <si>
    <t xml:space="preserve">例</t>
  </si>
  <si>
    <t xml:space="preserve">衝撃の事実（数字）</t>
  </si>
  <si>
    <t xml:space="preserve">具体的な数字＋行動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</si>
  <si>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週間で占いに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回お金を払った」「スマホを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日</t>
    </r>
    <r>
      <rPr>
        <sz val="10"/>
        <color rgb="FF000000"/>
        <rFont val="Arial"/>
        <family val="0"/>
        <charset val="1"/>
      </rPr>
      <t xml:space="preserve">47</t>
    </r>
    <r>
      <rPr>
        <sz val="10"/>
        <color rgb="FF000000"/>
        <rFont val="WenQuanYi Zen Hei"/>
        <family val="2"/>
      </rPr>
      <t xml:space="preserve">回見ていた」</t>
    </r>
  </si>
  <si>
    <t xml:space="preserve">衝撃の事実（身体）</t>
  </si>
  <si>
    <t xml:space="preserve">身体に出た代償</t>
  </si>
  <si>
    <t xml:space="preserve">「脳梗塞で入院した時、初めて顔色を読まなくてよかった」</t>
  </si>
  <si>
    <t xml:space="preserve">衝撃の事実（恥）</t>
  </si>
  <si>
    <t xml:space="preserve">言いたくない失敗・評価</t>
  </si>
  <si>
    <t xml:space="preserve">「潜在意識の先生に『もう教えられない』と言われた」</t>
  </si>
  <si>
    <t xml:space="preserve">常識破壊（否定）</t>
  </si>
  <si>
    <t xml:space="preserve">界隈の定説＋は〇〇じゃない</t>
  </si>
  <si>
    <t xml:space="preserve">「アファメーションが効かないのは、回数が足りないからじゃない」</t>
  </si>
  <si>
    <t xml:space="preserve">常識破壊（逆説）</t>
  </si>
  <si>
    <t xml:space="preserve">〜するほど〜できない</t>
  </si>
  <si>
    <t xml:space="preserve">「自愛を頑張るほど、自分を責めるのが上手になる」</t>
  </si>
  <si>
    <t xml:space="preserve">常識破壊（再定義）</t>
  </si>
  <si>
    <t xml:space="preserve">ほめられる特徴＝実は苦しさ</t>
  </si>
  <si>
    <t xml:space="preserve">「気が利く人は、才能じゃなくて生き延びるための癖だった」</t>
  </si>
  <si>
    <r>
      <rPr>
        <sz val="10"/>
        <color rgb="FF000000"/>
        <rFont val="Arial"/>
        <family val="0"/>
        <charset val="1"/>
      </rPr>
      <t xml:space="preserve">NG</t>
    </r>
    <r>
      <rPr>
        <sz val="10"/>
        <color rgb="FF000000"/>
        <rFont val="WenQuanYi Zen Hei"/>
        <family val="2"/>
      </rPr>
      <t xml:space="preserve">冒頭</t>
    </r>
  </si>
  <si>
    <t xml:space="preserve">説明・一般論・挨拶から入る</t>
  </si>
  <si>
    <r>
      <rPr>
        <sz val="10"/>
        <color rgb="FF000000"/>
        <rFont val="WenQuanYi Zen Hei"/>
        <family val="2"/>
      </rPr>
      <t xml:space="preserve">「今日は潜在意識について話します」「人に頼れないのは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か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思考だから」</t>
    </r>
  </si>
  <si>
    <t xml:space="preserve">❶当たっているテーマ／当たっていないテーマ ❷改善点</t>
  </si>
  <si>
    <r>
      <rPr>
        <sz val="9"/>
        <color rgb="FF666666"/>
        <rFont val="Arial"/>
        <family val="0"/>
        <charset val="1"/>
      </rPr>
      <t xml:space="preserve">ChatGPT</t>
    </r>
    <r>
      <rPr>
        <sz val="9"/>
        <color rgb="FF666666"/>
        <rFont val="WenQuanYi Zen Hei"/>
        <family val="2"/>
      </rPr>
      <t xml:space="preserve">レポートの実測値・分析を整理</t>
    </r>
  </si>
  <si>
    <r>
      <rPr>
        <b val="true"/>
        <sz val="12"/>
        <color rgb="FF5B3A6B"/>
        <rFont val="WenQuanYi Zen Hei"/>
        <family val="2"/>
      </rPr>
      <t xml:space="preserve">■ 自アカウント実績（</t>
    </r>
    <r>
      <rPr>
        <b val="true"/>
        <sz val="12"/>
        <color rgb="FF5B3A6B"/>
        <rFont val="Arial"/>
        <family val="0"/>
        <charset val="1"/>
      </rPr>
      <t xml:space="preserve">@rinko_mind</t>
    </r>
    <r>
      <rPr>
        <b val="true"/>
        <sz val="12"/>
        <color rgb="FF5B3A6B"/>
        <rFont val="WenQuanYi Zen Hei"/>
        <family val="2"/>
      </rPr>
      <t xml:space="preserve">／</t>
    </r>
    <r>
      <rPr>
        <b val="true"/>
        <sz val="12"/>
        <color rgb="FF5B3A6B"/>
        <rFont val="Arial"/>
        <family val="0"/>
        <charset val="1"/>
      </rPr>
      <t xml:space="preserve">@kokoro.rinko.1006</t>
    </r>
    <r>
      <rPr>
        <b val="true"/>
        <sz val="12"/>
        <color rgb="FF5B3A6B"/>
        <rFont val="WenQuanYi Zen Hei"/>
        <family val="2"/>
      </rPr>
      <t xml:space="preserve">）</t>
    </r>
  </si>
  <si>
    <t xml:space="preserve">順位</t>
  </si>
  <si>
    <t xml:space="preserve">アカウント</t>
  </si>
  <si>
    <t xml:space="preserve">冒頭</t>
  </si>
  <si>
    <t xml:space="preserve">判定</t>
  </si>
  <si>
    <t xml:space="preserve">勝因・敗因</t>
  </si>
  <si>
    <t xml:space="preserve">現</t>
  </si>
  <si>
    <t xml:space="preserve">脳梗塞で入院した時、初めて「誰かの顔色を読まなくていい時間」ができた</t>
  </si>
  <si>
    <t xml:space="preserve">強い</t>
  </si>
  <si>
    <r>
      <rPr>
        <sz val="10"/>
        <color rgb="FF000000"/>
        <rFont val="WenQuanYi Zen Hei"/>
        <family val="2"/>
      </rPr>
      <t xml:space="preserve">身体の代償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言えない本音</t>
    </r>
  </si>
  <si>
    <t xml:space="preserve">「自分でやった方が早い」は、優秀さじゃない</t>
  </si>
  <si>
    <t xml:space="preserve">ほめられる特徴の反転</t>
  </si>
  <si>
    <t xml:space="preserve">「私がやります」と言い続けて、脳梗塞になった</t>
  </si>
  <si>
    <t xml:space="preserve">中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</si>
  <si>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位と同ネタだが冒頭が説明的</t>
    </r>
  </si>
  <si>
    <r>
      <rPr>
        <sz val="10"/>
        <color rgb="FF000000"/>
        <rFont val="WenQuanYi Zen Hei"/>
        <family val="2"/>
      </rPr>
      <t xml:space="preserve">伊勢神宮に誘った。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週間、既読スルーだった</t>
    </r>
  </si>
  <si>
    <t xml:space="preserve">中〜弱</t>
  </si>
  <si>
    <t xml:space="preserve">出来事止まりで本音まで届いていない</t>
  </si>
  <si>
    <r>
      <rPr>
        <sz val="10"/>
        <color rgb="FF000000"/>
        <rFont val="WenQuanYi Zen Hei"/>
        <family val="2"/>
      </rPr>
      <t xml:space="preserve">「人に頼れない」のは、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か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でしか考えられないから</t>
    </r>
  </si>
  <si>
    <t xml:space="preserve">弱い</t>
  </si>
  <si>
    <t xml:space="preserve">一般論・解説から入った</t>
  </si>
  <si>
    <t xml:space="preserve">「私がやります」が口癖の人ほど、人を信用していません</t>
  </si>
  <si>
    <t xml:space="preserve">読者を責める印象</t>
  </si>
  <si>
    <r>
      <rPr>
        <sz val="10"/>
        <color rgb="FF000000"/>
        <rFont val="WenQuanYi Zen Hei"/>
        <family val="2"/>
      </rPr>
      <t xml:space="preserve">旧</t>
    </r>
    <r>
      <rPr>
        <sz val="10"/>
        <color rgb="FF000000"/>
        <rFont val="Arial"/>
        <family val="0"/>
        <charset val="1"/>
      </rPr>
      <t xml:space="preserve">1</t>
    </r>
  </si>
  <si>
    <t xml:space="preserve">旧</t>
  </si>
  <si>
    <r>
      <rPr>
        <sz val="10"/>
        <color rgb="FF000000"/>
        <rFont val="WenQuanYi Zen Hei"/>
        <family val="2"/>
      </rPr>
      <t xml:space="preserve">「ありがとう」「大丈夫」「私はできる」を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年唱えても現実は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ミリも変わらなかった</t>
    </r>
  </si>
  <si>
    <t xml:space="preserve">界隈の常識を自分の失敗で壊す</t>
  </si>
  <si>
    <t xml:space="preserve">■ 当たっているテーマ／当たっていないテーマ</t>
  </si>
  <si>
    <t xml:space="preserve">区分</t>
  </si>
  <si>
    <t xml:space="preserve">理由・使い方</t>
  </si>
  <si>
    <t xml:space="preserve">当たる</t>
  </si>
  <si>
    <t xml:space="preserve">身体が先に限界を知らせた話</t>
  </si>
  <si>
    <t xml:space="preserve">脳梗塞・頭痛・胸のザワザワ。抽象論より身体の事実が信頼を作る</t>
  </si>
  <si>
    <t xml:space="preserve">“いい人・しっかりした人”の裏側</t>
  </si>
  <si>
    <t xml:space="preserve">顔色を読む・頼れない・大丈夫なふり。ほめられる特徴を苦しさに反転</t>
  </si>
  <si>
    <t xml:space="preserve">潜在意識界隈の定説に失敗した話</t>
  </si>
  <si>
    <t xml:space="preserve">アファメーション・感謝・波動・手放し・ワクワク。「やった、でも効かなかった」</t>
  </si>
  <si>
    <t xml:space="preserve">他人軸から戻る具体的場面</t>
  </si>
  <si>
    <t xml:space="preserve">行きたくない食事・一人で店に入れない・ママ友を避ける</t>
  </si>
  <si>
    <t xml:space="preserve">人には言えない性格の悪い本音</t>
  </si>
  <si>
    <t xml:space="preserve">「感謝より自分で稼いだ私最高」「先生にムカつく」</t>
  </si>
  <si>
    <t xml:space="preserve">抽象的な潜在意識論</t>
  </si>
  <si>
    <t xml:space="preserve">願い方・前提・思考は現実化だけでは競合と同じ</t>
  </si>
  <si>
    <t xml:space="preserve">一般論から入る投稿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</si>
  <si>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か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思考」より「消しゴムは借りられる」の方が強い</t>
    </r>
  </si>
  <si>
    <r>
      <rPr>
        <sz val="10"/>
        <color rgb="FF000000"/>
        <rFont val="WenQuanYi Zen Hei"/>
        <family val="2"/>
      </rPr>
      <t xml:space="preserve">毎回同じ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連投の型</t>
    </r>
  </si>
  <si>
    <r>
      <rPr>
        <sz val="10"/>
        <color rgb="FF000000"/>
        <rFont val="WenQuanYi Zen Hei"/>
        <family val="2"/>
      </rPr>
      <t xml:space="preserve">問題提起→解説→幼少期→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ステップ→</t>
    </r>
    <r>
      <rPr>
        <sz val="10"/>
        <color rgb="FF000000"/>
        <rFont val="Arial"/>
        <family val="0"/>
        <charset val="1"/>
      </rPr>
      <t xml:space="preserve">LINE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投稿で完結させる</t>
    </r>
  </si>
  <si>
    <r>
      <rPr>
        <sz val="10"/>
        <color rgb="FF000000"/>
        <rFont val="WenQuanYi Zen Hei"/>
        <family val="2"/>
      </rPr>
      <t xml:space="preserve">毎投稿の</t>
    </r>
    <r>
      <rPr>
        <sz val="10"/>
        <color rgb="FF000000"/>
        <rFont val="Arial"/>
        <family val="0"/>
        <charset val="1"/>
      </rPr>
      <t xml:space="preserve">LINE</t>
    </r>
    <r>
      <rPr>
        <sz val="10"/>
        <color rgb="FF000000"/>
        <rFont val="WenQuanYi Zen Hei"/>
        <family val="2"/>
      </rPr>
      <t xml:space="preserve">誘導</t>
    </r>
  </si>
  <si>
    <t xml:space="preserve">共感前に売られている印象。通常はコメント誘導、固定投稿だけ導線</t>
  </si>
  <si>
    <t xml:space="preserve">願望スケールを煽るだけ</t>
  </si>
  <si>
    <r>
      <rPr>
        <sz val="10"/>
        <color rgb="FF000000"/>
        <rFont val="WenQuanYi Zen Hei"/>
        <family val="2"/>
      </rPr>
      <t xml:space="preserve">「年収</t>
    </r>
    <r>
      <rPr>
        <sz val="10"/>
        <color rgb="FF000000"/>
        <rFont val="Arial"/>
        <family val="0"/>
        <charset val="1"/>
      </rPr>
      <t xml:space="preserve">200</t>
    </r>
    <r>
      <rPr>
        <sz val="10"/>
        <color rgb="FF000000"/>
        <rFont val="WenQuanYi Zen Hei"/>
        <family val="2"/>
      </rPr>
      <t xml:space="preserve">万→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億」は信頼リスク。第二段階（</t>
    </r>
    <r>
      <rPr>
        <sz val="10"/>
        <color rgb="FF000000"/>
        <rFont val="Arial"/>
        <family val="0"/>
        <charset val="1"/>
      </rPr>
      <t xml:space="preserve">Day23</t>
    </r>
    <r>
      <rPr>
        <sz val="10"/>
        <color rgb="FF000000"/>
        <rFont val="WenQuanYi Zen Hei"/>
        <family val="2"/>
      </rPr>
      <t xml:space="preserve">以降）に置く</t>
    </r>
  </si>
  <si>
    <t xml:space="preserve">■ ❷ 改善すべき点</t>
  </si>
  <si>
    <t xml:space="preserve">#</t>
  </si>
  <si>
    <t xml:space="preserve">改善点</t>
  </si>
  <si>
    <t xml:space="preserve">具体策</t>
  </si>
  <si>
    <t xml:space="preserve">コンセプトを「潜在意識」→「超ネガティブ向けの順番」へ</t>
  </si>
  <si>
    <t xml:space="preserve">吐く→名前をつける→現実に戻る→望みを選ぶ→妄想する、を倫子式として固定</t>
  </si>
  <si>
    <t xml:space="preserve">「シネシネワーク」の表の名称を変える</t>
  </si>
  <si>
    <r>
      <rPr>
        <sz val="10"/>
        <color rgb="FF000000"/>
        <rFont val="WenQuanYi Zen Hei"/>
        <family val="2"/>
      </rPr>
      <t xml:space="preserve">毒出し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分／誰にも見せない本音ノート。体験談の中でのみ元の名前を出す</t>
    </r>
  </si>
  <si>
    <t xml:space="preserve">吐き出しっぱなしにしない</t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</si>
  <si>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ステップ（設定・結論シート参照）で「吐く」と「書き換え」を一本の線に</t>
    </r>
  </si>
  <si>
    <t xml:space="preserve">冒頭を説明ではなく告白・反転・場面に</t>
  </si>
  <si>
    <t xml:space="preserve">「構造パターン」シートの冒頭の型を使用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</si>
  <si>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投稿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テーマ・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投稿で完結</t>
    </r>
  </si>
  <si>
    <r>
      <rPr>
        <sz val="10"/>
        <color rgb="FF000000"/>
        <rFont val="WenQuanYi Zen Hei"/>
        <family val="2"/>
      </rPr>
      <t xml:space="preserve">本文①＋本文②の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投稿構成で統一（本スケジュール）</t>
    </r>
  </si>
  <si>
    <t xml:space="preserve">プロフィールを“得られる変化”中心に</t>
  </si>
  <si>
    <t xml:space="preserve">設定・結論シートのプロフィール案</t>
  </si>
  <si>
    <t xml:space="preserve">医療・脳科学・潜在意識の断定を弱める</t>
  </si>
  <si>
    <t xml:space="preserve">「私はこうだった」「役立つ人もいる」。表現的筆記の効果は人により異なるという研究もある</t>
  </si>
  <si>
    <r>
      <rPr>
        <b val="true"/>
        <sz val="14"/>
        <color rgb="FF5B3A6B"/>
        <rFont val="WenQuanYi Zen Hei"/>
        <family val="2"/>
      </rPr>
      <t xml:space="preserve">❸ 同業他者のバズ投稿（</t>
    </r>
    <r>
      <rPr>
        <b val="true"/>
        <sz val="14"/>
        <color rgb="FF5B3A6B"/>
        <rFont val="Arial"/>
        <family val="0"/>
        <charset val="1"/>
      </rPr>
      <t xml:space="preserve">3</t>
    </r>
    <r>
      <rPr>
        <b val="true"/>
        <sz val="14"/>
        <color rgb="FF5B3A6B"/>
        <rFont val="WenQuanYi Zen Hei"/>
        <family val="2"/>
      </rPr>
      <t xml:space="preserve">万閲覧以上）とコメント分析</t>
    </r>
  </si>
  <si>
    <r>
      <rPr>
        <sz val="9"/>
        <color rgb="FF666666"/>
        <rFont val="WenQuanYi Zen Hei"/>
        <family val="2"/>
      </rPr>
      <t xml:space="preserve">数値は</t>
    </r>
    <r>
      <rPr>
        <sz val="9"/>
        <color rgb="FF666666"/>
        <rFont val="Arial"/>
        <family val="0"/>
        <charset val="1"/>
      </rPr>
      <t xml:space="preserve">ChatGPT</t>
    </r>
    <r>
      <rPr>
        <sz val="9"/>
        <color rgb="FF666666"/>
        <rFont val="WenQuanYi Zen Hei"/>
        <family val="2"/>
      </rPr>
      <t xml:space="preserve">レポート記載の調査時点の値（未再計測）</t>
    </r>
  </si>
  <si>
    <t xml:space="preserve">コメント</t>
  </si>
  <si>
    <t xml:space="preserve">URL</t>
  </si>
  <si>
    <t xml:space="preserve">いいね率</t>
  </si>
  <si>
    <t xml:space="preserve">@yamakawa.nobuto</t>
  </si>
  <si>
    <r>
      <rPr>
        <sz val="10"/>
        <color rgb="FF000000"/>
        <rFont val="WenQuanYi Zen Hei"/>
        <family val="2"/>
      </rPr>
      <t xml:space="preserve">潜在意識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問い</t>
    </r>
  </si>
  <si>
    <t xml:space="preserve">ジョブズが亡くなる直前まで手帳に書いた一行</t>
  </si>
  <si>
    <r>
      <rPr>
        <sz val="10"/>
        <color rgb="FF000000"/>
        <rFont val="WenQuanYi Zen Hei"/>
        <family val="2"/>
      </rPr>
      <t xml:space="preserve">権威→未完の一行→脳の説明→自分のどん底→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つの問い</t>
    </r>
  </si>
  <si>
    <t xml:space="preserve">https://www.threads.com/@yamakawa.nobuto/post/DZ15tVykhlC</t>
  </si>
  <si>
    <t xml:space="preserve">@asa_jikorikai</t>
  </si>
  <si>
    <t xml:space="preserve">他人軸・自信</t>
  </si>
  <si>
    <t xml:space="preserve">海外論文で見つけて衝撃だった</t>
  </si>
  <si>
    <r>
      <rPr>
        <sz val="10"/>
        <color rgb="FF000000"/>
        <rFont val="WenQuanYi Zen Hei"/>
        <family val="2"/>
      </rPr>
      <t xml:space="preserve">常識否定→研究概念→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つの問い→夜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文ワーク</t>
    </r>
  </si>
  <si>
    <t xml:space="preserve">https://www.threads.com/@asa_jikorikai/post/DbVfCkECiae</t>
  </si>
  <si>
    <t xml:space="preserve">@mirai.melife</t>
  </si>
  <si>
    <t xml:space="preserve">ジャーナリング</t>
  </si>
  <si>
    <r>
      <rPr>
        <sz val="10"/>
        <color rgb="FF000000"/>
        <rFont val="Arial"/>
        <family val="0"/>
        <charset val="1"/>
      </rPr>
      <t xml:space="preserve">900</t>
    </r>
    <r>
      <rPr>
        <sz val="10"/>
        <color rgb="FF000000"/>
        <rFont val="WenQuanYi Zen Hei"/>
        <family val="2"/>
      </rPr>
      <t xml:space="preserve">日続けて人生を変えた私が毎週書く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つの質問</t>
    </r>
  </si>
  <si>
    <t xml:space="preserve">数字で実績→質問を隠す→画像・商品導線</t>
  </si>
  <si>
    <t xml:space="preserve">https://www.threads.com/@mirai.melife/post/DTAgwXfE5Nz</t>
  </si>
  <si>
    <t xml:space="preserve">@reirei_aoyama</t>
  </si>
  <si>
    <t xml:space="preserve">潜在意識・身体反応</t>
  </si>
  <si>
    <t xml:space="preserve">本当の願いか確かめる方法。簡単なのにゾッとするほど当たる</t>
  </si>
  <si>
    <r>
      <rPr>
        <sz val="10"/>
        <color rgb="FF000000"/>
        <rFont val="WenQuanYi Zen Hei"/>
        <family val="2"/>
      </rPr>
      <t xml:space="preserve">即効性→恐怖語→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ステップ→体験コメント増殖</t>
    </r>
  </si>
  <si>
    <t xml:space="preserve">https://www.threads.com/@reirei_aoyama/post/DeTwVLhk9LG</t>
  </si>
  <si>
    <t xml:space="preserve">@meina_mama3018</t>
  </si>
  <si>
    <t xml:space="preserve">自己肯定感・母子</t>
  </si>
  <si>
    <t xml:space="preserve">子どもへの接し方より、母親が自分をどう扱うか</t>
  </si>
  <si>
    <t xml:space="preserve">脳科学権威→親の罪悪感→子への影響→自己受容</t>
  </si>
  <si>
    <t xml:space="preserve">https://www.threads.com/@meina_mama3018/post/DKoTzlVJJ3_</t>
  </si>
  <si>
    <t xml:space="preserve">@ruri_reishi888</t>
  </si>
  <si>
    <t xml:space="preserve">引き寄せの誤解</t>
  </si>
  <si>
    <t xml:space="preserve">霊感が強い母が言っていました</t>
  </si>
  <si>
    <t xml:space="preserve">身近な権威→高級品の真似ではない→未来の自分ならどう受け取るか</t>
  </si>
  <si>
    <t xml:space="preserve">https://www.threads.com/@ruri_reishi888/post/DaNa4RwEQOe</t>
  </si>
  <si>
    <t xml:space="preserve">@yama_reself</t>
  </si>
  <si>
    <t xml:space="preserve">受け取り・遠慮</t>
  </si>
  <si>
    <t xml:space="preserve">この世界は、ぜんぶ逆</t>
  </si>
  <si>
    <r>
      <rPr>
        <sz val="10"/>
        <color rgb="FF000000"/>
        <rFont val="WenQuanYi Zen Hei"/>
        <family val="2"/>
      </rPr>
      <t xml:space="preserve">短い反転文の連打→最後に答え→今日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回の行動</t>
    </r>
  </si>
  <si>
    <t xml:space="preserve">https://www.threads.com/@yama_reself/post/DawUoGxiZZT</t>
  </si>
  <si>
    <t xml:space="preserve">@chihochihoko</t>
  </si>
  <si>
    <t xml:space="preserve">ネガティブ感情・愛着</t>
  </si>
  <si>
    <t xml:space="preserve">日本人はネガティブ感情を調整できず家族にぶつける人が多い</t>
  </si>
  <si>
    <t xml:space="preserve">社会への強い主張→理論→母子→境界線</t>
  </si>
  <si>
    <t xml:space="preserve">https://www.threads.com/@chihochihoko/post/DdhUkyAE7xq</t>
  </si>
  <si>
    <t xml:space="preserve">@grit_power00</t>
  </si>
  <si>
    <t xml:space="preserve">ジャーナリング比較</t>
  </si>
  <si>
    <t xml:space="preserve">🥉やめとけ／🥈無難／🥇本当に効く</t>
  </si>
  <si>
    <t xml:space="preserve">ランキング→既存法を否定→問いの設計→商品導線</t>
  </si>
  <si>
    <t xml:space="preserve">https://www.threads.com/@grit_power00/post/DbwhtUIDwC8</t>
  </si>
  <si>
    <t xml:space="preserve">@fufu___life</t>
  </si>
  <si>
    <t xml:space="preserve">お金・ワクワク疲れ</t>
  </si>
  <si>
    <t xml:space="preserve">どうせ最後まで読む人は少ないので、真実を書きます</t>
  </si>
  <si>
    <t xml:space="preserve">秘密告白→界隈の常識否定→浪費の生々しい流れ→安心を選ぶ</t>
  </si>
  <si>
    <t xml:space="preserve">https://www.threads.com/@fufu___life/post/DaG9KHfEe7r</t>
  </si>
  <si>
    <t xml:space="preserve">@sora411114</t>
  </si>
  <si>
    <t xml:space="preserve">内観しても変わらない</t>
  </si>
  <si>
    <t xml:space="preserve">自分と向き合う人ほど自分軸は育ちにくい</t>
  </si>
  <si>
    <r>
      <rPr>
        <sz val="10"/>
        <color rgb="FF000000"/>
        <rFont val="WenQuanYi Zen Hei"/>
        <family val="2"/>
      </rPr>
      <t xml:space="preserve">逆説→思考と身体の不一致→変わらない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原因</t>
    </r>
  </si>
  <si>
    <t xml:space="preserve">https://www.threads.com/@sora411114/post/DU8CEFukZ5O</t>
  </si>
  <si>
    <t xml:space="preserve">@mikari_neisan</t>
  </si>
  <si>
    <t xml:space="preserve">整ったふり</t>
  </si>
  <si>
    <t xml:space="preserve">整ってる人が、いちばん闇抱えてる説</t>
  </si>
  <si>
    <t xml:space="preserve">界隈への皮肉→体の症状→「演じるな、感じろ」</t>
  </si>
  <si>
    <t xml:space="preserve">https://www.threads.com/@mikari_neisan/post/DULlRvFEnUO</t>
  </si>
  <si>
    <t xml:space="preserve">■ 勝ちパターン</t>
  </si>
  <si>
    <t xml:space="preserve">パターン</t>
  </si>
  <si>
    <t xml:space="preserve">常識を否定する</t>
  </si>
  <si>
    <t xml:space="preserve">ワクワクより安心／向き合う人ほど自分軸が育たない／整っている人ほど闇</t>
  </si>
  <si>
    <t xml:space="preserve">最初に答えを少し隠す</t>
  </si>
  <si>
    <t xml:space="preserve">「その一行は…」「本当の理由は…」</t>
  </si>
  <si>
    <r>
      <rPr>
        <sz val="10"/>
        <color rgb="FF000000"/>
        <rFont val="WenQuanYi Zen Hei"/>
        <family val="2"/>
      </rPr>
      <t xml:space="preserve">権威か当事者性を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つだけ置く</t>
    </r>
  </si>
  <si>
    <r>
      <rPr>
        <sz val="10"/>
        <color rgb="FF000000"/>
        <rFont val="WenQuanYi Zen Hei"/>
        <family val="2"/>
      </rPr>
      <t xml:space="preserve">論文・ジョブズ・母の言葉・</t>
    </r>
    <r>
      <rPr>
        <sz val="10"/>
        <color rgb="FF000000"/>
        <rFont val="Arial"/>
        <family val="0"/>
        <charset val="1"/>
      </rPr>
      <t xml:space="preserve">900</t>
    </r>
    <r>
      <rPr>
        <sz val="10"/>
        <color rgb="FF000000"/>
        <rFont val="WenQuanYi Zen Hei"/>
        <family val="2"/>
      </rPr>
      <t xml:space="preserve">日</t>
    </r>
  </si>
  <si>
    <t xml:space="preserve">抽象概念を身体・お金・家庭に落とす</t>
  </si>
  <si>
    <t xml:space="preserve">胸がザワザワ・支払いが怖い・子どもに伝わる</t>
  </si>
  <si>
    <t xml:space="preserve">今すぐできる動作で終わる</t>
  </si>
  <si>
    <t xml:space="preserve">一行書く・今日は安心を選ぶ</t>
  </si>
  <si>
    <t xml:space="preserve">■ コメント欄の共通キーワード・悩み（公開取得できた範囲を全件読み取り）</t>
  </si>
  <si>
    <t xml:space="preserve">内容</t>
  </si>
  <si>
    <t xml:space="preserve">共感ワード</t>
  </si>
  <si>
    <t xml:space="preserve">腑に落ちた／わかります／私も同じ／まさにそれ／やってみます／もっと早く知りたかった／モヤモヤが晴れる／安心したい／自分を大切にしたい／フラットがいい</t>
  </si>
  <si>
    <t xml:space="preserve">表面の悩み</t>
  </si>
  <si>
    <t xml:space="preserve">願いが本音かわからない／身体の反応がわからない／ジャーナリングで何を書けばいいかわからない／殴り書きでもいいのか／夫を頼れず一人で抱える／お金を使った後に絶望する／子どもに悪影響が怖い／ポジティブな人のノリについていけない／「考えすぎ」と言われるのがうざい</t>
  </si>
  <si>
    <t xml:space="preserve">深い悩み</t>
  </si>
  <si>
    <t xml:space="preserve">自分の感覚が正しいと信じられない／正しいやり方を外側に求め続ける／ネガティブな自分は迷惑／休む・断る・使わない＝敗北／母親として子を壊している罪悪感／頼ると価値が下がる・裏切られる／ポジティブの押し付け＝苦しさごと否定／学んでも変われず「私だけおかしい」</t>
  </si>
  <si>
    <t xml:space="preserve">投稿への反映</t>
  </si>
  <si>
    <r>
      <rPr>
        <sz val="10"/>
        <color rgb="FF000000"/>
        <rFont val="Arial"/>
        <family val="0"/>
        <charset val="1"/>
      </rPr>
      <t xml:space="preserve">Day7</t>
    </r>
    <r>
      <rPr>
        <sz val="10"/>
        <color rgb="FF000000"/>
        <rFont val="WenQuanYi Zen Hei"/>
        <family val="2"/>
      </rPr>
      <t xml:space="preserve">（何を書けばいい）・</t>
    </r>
    <r>
      <rPr>
        <sz val="10"/>
        <color rgb="FF000000"/>
        <rFont val="Arial"/>
        <family val="0"/>
        <charset val="1"/>
      </rPr>
      <t xml:space="preserve">Day5</t>
    </r>
    <r>
      <rPr>
        <sz val="10"/>
        <color rgb="FF000000"/>
        <rFont val="WenQuanYi Zen Hei"/>
        <family val="2"/>
      </rPr>
      <t xml:space="preserve">（お金を使った後の絶望）・</t>
    </r>
    <r>
      <rPr>
        <sz val="10"/>
        <color rgb="FF000000"/>
        <rFont val="Arial"/>
        <family val="0"/>
        <charset val="1"/>
      </rPr>
      <t xml:space="preserve">Day12</t>
    </r>
    <r>
      <rPr>
        <sz val="10"/>
        <color rgb="FF000000"/>
        <rFont val="WenQuanYi Zen Hei"/>
        <family val="2"/>
      </rPr>
      <t xml:space="preserve">（殴り書き・吐いて苦しい）・</t>
    </r>
    <r>
      <rPr>
        <sz val="10"/>
        <color rgb="FF000000"/>
        <rFont val="Arial"/>
        <family val="0"/>
        <charset val="1"/>
      </rPr>
      <t xml:space="preserve">Day20</t>
    </r>
    <r>
      <rPr>
        <sz val="10"/>
        <color rgb="FF000000"/>
        <rFont val="WenQuanYi Zen Hei"/>
        <family val="2"/>
      </rPr>
      <t xml:space="preserve">（ポジティブ押し付け）・</t>
    </r>
    <r>
      <rPr>
        <sz val="10"/>
        <color rgb="FF000000"/>
        <rFont val="Arial"/>
        <family val="0"/>
        <charset val="1"/>
      </rPr>
      <t xml:space="preserve">Day25</t>
    </r>
    <r>
      <rPr>
        <sz val="10"/>
        <color rgb="FF000000"/>
        <rFont val="WenQuanYi Zen Hei"/>
        <family val="2"/>
      </rPr>
      <t xml:space="preserve">（感覚を信じ直す）</t>
    </r>
  </si>
  <si>
    <r>
      <rPr>
        <b val="true"/>
        <sz val="12"/>
        <color rgb="FF5B3A6B"/>
        <rFont val="WenQuanYi Zen Hei"/>
        <family val="2"/>
      </rPr>
      <t xml:space="preserve">■ 競合アカウント／他媒体（ノート・ジャーナリング</t>
    </r>
    <r>
      <rPr>
        <b val="true"/>
        <sz val="12"/>
        <color rgb="FF5B3A6B"/>
        <rFont val="Arial"/>
        <family val="0"/>
        <charset val="1"/>
      </rPr>
      <t xml:space="preserve">×</t>
    </r>
    <r>
      <rPr>
        <b val="true"/>
        <sz val="12"/>
        <color rgb="FF5B3A6B"/>
        <rFont val="WenQuanYi Zen Hei"/>
        <family val="2"/>
      </rPr>
      <t xml:space="preserve">潜在意識</t>
    </r>
    <r>
      <rPr>
        <b val="true"/>
        <sz val="12"/>
        <color rgb="FF5B3A6B"/>
        <rFont val="Arial"/>
        <family val="0"/>
        <charset val="1"/>
      </rPr>
      <t xml:space="preserve">×</t>
    </r>
    <r>
      <rPr>
        <b val="true"/>
        <sz val="12"/>
        <color rgb="FF5B3A6B"/>
        <rFont val="WenQuanYi Zen Hei"/>
        <family val="2"/>
      </rPr>
      <t xml:space="preserve">ネガティブ吐き出し）</t>
    </r>
  </si>
  <si>
    <t xml:space="preserve">名前</t>
  </si>
  <si>
    <t xml:space="preserve">媒体</t>
  </si>
  <si>
    <t xml:space="preserve">特徴</t>
  </si>
  <si>
    <t xml:space="preserve">倫子さんとの差別化</t>
  </si>
  <si>
    <r>
      <rPr>
        <sz val="10"/>
        <color rgb="FF000000"/>
        <rFont val="Arial"/>
        <family val="0"/>
        <charset val="1"/>
      </rPr>
      <t xml:space="preserve">Threads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2,725F</t>
    </r>
    <r>
      <rPr>
        <sz val="10"/>
        <color rgb="FF000000"/>
        <rFont val="WenQuanYi Zen Hei"/>
        <family val="2"/>
      </rPr>
      <t xml:space="preserve">）</t>
    </r>
  </si>
  <si>
    <t xml:space="preserve">引き寄せ界隈の常識を生活とお金の安心に翻訳。最も近い直接競合</t>
  </si>
  <si>
    <r>
      <rPr>
        <sz val="10"/>
        <color rgb="FF000000"/>
        <rFont val="WenQuanYi Zen Hei"/>
        <family val="2"/>
      </rPr>
      <t xml:space="preserve">倫子さんは「超ネガティブ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ノート実演」で具体性を出す</t>
    </r>
  </si>
  <si>
    <r>
      <rPr>
        <sz val="10"/>
        <color rgb="FF000000"/>
        <rFont val="Arial"/>
        <family val="0"/>
        <charset val="1"/>
      </rPr>
      <t xml:space="preserve">Threads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4,088F</t>
    </r>
    <r>
      <rPr>
        <sz val="10"/>
        <color rgb="FF000000"/>
        <rFont val="WenQuanYi Zen Hei"/>
        <family val="2"/>
      </rPr>
      <t xml:space="preserve">）</t>
    </r>
  </si>
  <si>
    <t xml:space="preserve">恋愛不安・ぐるぐる思考・愛着・身体感覚</t>
  </si>
  <si>
    <r>
      <rPr>
        <sz val="10"/>
        <color rgb="FF000000"/>
        <rFont val="WenQuanYi Zen Hei"/>
        <family val="2"/>
      </rPr>
      <t xml:space="preserve">恋愛は依存体験（占い週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）で当事者性</t>
    </r>
  </si>
  <si>
    <r>
      <rPr>
        <sz val="10"/>
        <color rgb="FF000000"/>
        <rFont val="Arial"/>
        <family val="0"/>
        <charset val="1"/>
      </rPr>
      <t xml:space="preserve">Threads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2,178F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</si>
  <si>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代女性の整ったふり・本音・身体</t>
    </r>
  </si>
  <si>
    <t xml:space="preserve">生々しい言葉の参考。倫子さんは順番（メソッド）を持つ</t>
  </si>
  <si>
    <r>
      <rPr>
        <sz val="10"/>
        <color rgb="FF000000"/>
        <rFont val="Arial"/>
        <family val="0"/>
        <charset val="1"/>
      </rPr>
      <t xml:space="preserve">Threads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2,501F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</si>
  <si>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脳科学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ジャーナリング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収入。ランキング構成</t>
    </r>
  </si>
  <si>
    <r>
      <rPr>
        <sz val="10"/>
        <color rgb="FF000000"/>
        <rFont val="WenQuanYi Zen Hei"/>
        <family val="2"/>
      </rPr>
      <t xml:space="preserve">「吐くだけではダメ」→倫子式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ステップで回答</t>
    </r>
  </si>
  <si>
    <r>
      <rPr>
        <sz val="10"/>
        <color rgb="FF000000"/>
        <rFont val="Arial"/>
        <family val="0"/>
        <charset val="1"/>
      </rPr>
      <t xml:space="preserve">Threads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11,328F</t>
    </r>
    <r>
      <rPr>
        <sz val="10"/>
        <color rgb="FF000000"/>
        <rFont val="WenQuanYi Zen Hei"/>
        <family val="2"/>
      </rPr>
      <t xml:space="preserve">）</t>
    </r>
  </si>
  <si>
    <t xml:space="preserve">ジャーナリング→仕事・商品導線が上手い</t>
  </si>
  <si>
    <t xml:space="preserve">テンプレ配布→個別相談の導線を参考に</t>
  </si>
  <si>
    <r>
      <rPr>
        <sz val="10"/>
        <color rgb="FF000000"/>
        <rFont val="Arial"/>
        <family val="0"/>
        <charset val="1"/>
      </rPr>
      <t xml:space="preserve">Threads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14,581F</t>
    </r>
    <r>
      <rPr>
        <sz val="10"/>
        <color rgb="FF000000"/>
        <rFont val="WenQuanYi Zen Hei"/>
        <family val="2"/>
      </rPr>
      <t xml:space="preserve">）</t>
    </r>
  </si>
  <si>
    <t xml:space="preserve">研究・心理学を根拠に他人軸を問いに</t>
  </si>
  <si>
    <t xml:space="preserve">診断チェック型の参考</t>
  </si>
  <si>
    <r>
      <rPr>
        <sz val="10"/>
        <color rgb="FF000000"/>
        <rFont val="Arial"/>
        <family val="0"/>
        <charset val="1"/>
      </rPr>
      <t xml:space="preserve">Threads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643F</t>
    </r>
    <r>
      <rPr>
        <sz val="10"/>
        <color rgb="FF000000"/>
        <rFont val="WenQuanYi Zen Hei"/>
        <family val="2"/>
      </rPr>
      <t xml:space="preserve">）</t>
    </r>
  </si>
  <si>
    <t xml:space="preserve">簡単・即効・ゾッとするフック</t>
  </si>
  <si>
    <t xml:space="preserve">少フォロワーでも冒頭で伸びる実例</t>
  </si>
  <si>
    <r>
      <rPr>
        <sz val="10"/>
        <color rgb="FF000000"/>
        <rFont val="Arial"/>
        <family val="0"/>
        <charset val="1"/>
      </rPr>
      <t xml:space="preserve">Threads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11,572F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</si>
  <si>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社会への強い主張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海外経験</t>
    </r>
  </si>
  <si>
    <t xml:space="preserve">長文でも主張の強さで読ませる</t>
  </si>
  <si>
    <t xml:space="preserve">カズ先生</t>
  </si>
  <si>
    <t xml:space="preserve">note</t>
  </si>
  <si>
    <t xml:space="preserve">潜在意識の書き換えノートは願望より本音を書く</t>
  </si>
  <si>
    <t xml:space="preserve">ほぼ同主張→倫子さんは「失敗した当事者」＋妄想まで</t>
  </si>
  <si>
    <r>
      <rPr>
        <sz val="10"/>
        <color rgb="FF000000"/>
        <rFont val="Arial"/>
        <family val="0"/>
        <charset val="1"/>
      </rPr>
      <t xml:space="preserve">SHIFT</t>
    </r>
    <r>
      <rPr>
        <sz val="10"/>
        <color rgb="FF000000"/>
        <rFont val="WenQuanYi Zen Hei"/>
        <family val="2"/>
      </rPr>
      <t xml:space="preserve">｜使える引き寄せ</t>
    </r>
  </si>
  <si>
    <t xml:space="preserve">Podcast</t>
  </si>
  <si>
    <t xml:space="preserve">ムカつくならムカつくと認めて外に出しニュートラルへ</t>
  </si>
  <si>
    <t xml:space="preserve">音声よりノート実演で差別化</t>
  </si>
  <si>
    <t xml:space="preserve">ゆうた｜引き寄せの法則オタク</t>
  </si>
  <si>
    <t xml:space="preserve">YouTube Shorts</t>
  </si>
  <si>
    <r>
      <rPr>
        <sz val="10"/>
        <color rgb="FF000000"/>
        <rFont val="WenQuanYi Zen Hei"/>
        <family val="2"/>
      </rPr>
      <t xml:space="preserve">感情をすべて吐き出す方法（</t>
    </r>
    <r>
      <rPr>
        <sz val="10"/>
        <color rgb="FF000000"/>
        <rFont val="Arial"/>
        <family val="0"/>
        <charset val="1"/>
      </rPr>
      <t xml:space="preserve">5,660</t>
    </r>
    <r>
      <rPr>
        <sz val="10"/>
        <color rgb="FF000000"/>
        <rFont val="WenQuanYi Zen Hei"/>
        <family val="2"/>
      </rPr>
      <t xml:space="preserve">再生）</t>
    </r>
  </si>
  <si>
    <t xml:space="preserve">ショート動画化の参考</t>
  </si>
  <si>
    <t xml:space="preserve">Yuriko</t>
  </si>
  <si>
    <t xml:space="preserve">アメブロ</t>
  </si>
  <si>
    <t xml:space="preserve">書いて解放は勧めない（再体験になる）反対派</t>
  </si>
  <si>
    <r>
      <rPr>
        <sz val="10"/>
        <color rgb="FF000000"/>
        <rFont val="WenQuanYi Zen Hei"/>
        <family val="2"/>
      </rPr>
      <t xml:space="preserve">安全設計（</t>
    </r>
    <r>
      <rPr>
        <sz val="10"/>
        <color rgb="FF000000"/>
        <rFont val="Arial"/>
        <family val="0"/>
        <charset val="1"/>
      </rPr>
      <t xml:space="preserve">Day12</t>
    </r>
    <r>
      <rPr>
        <sz val="10"/>
        <color rgb="FF000000"/>
        <rFont val="WenQuanYi Zen Hei"/>
        <family val="2"/>
      </rPr>
      <t xml:space="preserve">）の根拠に</t>
    </r>
  </si>
  <si>
    <t xml:space="preserve">❹ 発信者ではなく「愚痴・恥・本音」で投稿できるネタ</t>
  </si>
  <si>
    <r>
      <rPr>
        <sz val="9"/>
        <color rgb="FF666666"/>
        <rFont val="WenQuanYi Zen Hei"/>
        <family val="2"/>
      </rPr>
      <t xml:space="preserve">型：きれいな結論を先に言わない→言いたくない事実→性格の悪い本音→「今ならこうする」を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つ</t>
    </r>
  </si>
  <si>
    <t xml:space="preserve">No</t>
  </si>
  <si>
    <t xml:space="preserve">ネタ（愚痴・本音のまま）</t>
  </si>
  <si>
    <t xml:space="preserve">スケジュールでの使用</t>
  </si>
  <si>
    <t xml:space="preserve">潜在意識の講座で、私だけいつも怒られていた</t>
  </si>
  <si>
    <t xml:space="preserve">Day8</t>
  </si>
  <si>
    <t xml:space="preserve">先生に「もう教えられない。自己流でやりすぎ」と言われた</t>
  </si>
  <si>
    <t xml:space="preserve">優秀な受講生と比べられるたび、落ちこぼれだと思った</t>
  </si>
  <si>
    <r>
      <rPr>
        <sz val="10"/>
        <color rgb="FF000000"/>
        <rFont val="WenQuanYi Zen Hei"/>
        <family val="2"/>
      </rPr>
      <t xml:space="preserve">未使用（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日目以降）</t>
    </r>
  </si>
  <si>
    <t xml:space="preserve">感謝しなきゃと思っていた。本音は「私が稼いだ金で自由に来た私が最高」</t>
  </si>
  <si>
    <t xml:space="preserve">Day11</t>
  </si>
  <si>
    <t xml:space="preserve">ルンルンしなきゃ、ネガティブに負けちゃいけない、が一番しんどかった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</si>
  <si>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分妄想しても、残り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WenQuanYi Zen Hei"/>
        <family val="2"/>
      </rPr>
      <t xml:space="preserve">時間</t>
    </r>
    <r>
      <rPr>
        <sz val="10"/>
        <color rgb="FF000000"/>
        <rFont val="Arial"/>
        <family val="0"/>
        <charset val="1"/>
      </rPr>
      <t xml:space="preserve">57</t>
    </r>
    <r>
      <rPr>
        <sz val="10"/>
        <color rgb="FF000000"/>
        <rFont val="WenQuanYi Zen Hei"/>
        <family val="2"/>
      </rPr>
      <t xml:space="preserve">分の現実に負けていた</t>
    </r>
  </si>
  <si>
    <t xml:space="preserve">Day9</t>
  </si>
  <si>
    <r>
      <rPr>
        <sz val="10"/>
        <color rgb="FF000000"/>
        <rFont val="WenQuanYi Zen Hei"/>
        <family val="2"/>
      </rPr>
      <t xml:space="preserve">貯金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WenQuanYi Zen Hei"/>
        <family val="2"/>
      </rPr>
      <t xml:space="preserve">万円がリアルすぎて、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億円の自分なんて脳が笑っていた</t>
    </r>
  </si>
  <si>
    <t xml:space="preserve">Day23</t>
  </si>
  <si>
    <t xml:space="preserve">願えば放っておけば叶うと思っていた。全然放っておけなかった</t>
  </si>
  <si>
    <t xml:space="preserve">一人旅を寂しいと思っていた。人と行く方がずっと気を遣って寂しかった</t>
  </si>
  <si>
    <t xml:space="preserve">Day13</t>
  </si>
  <si>
    <t xml:space="preserve">ママ友を見つけたら、気づかれる前に反対方向へ歩く</t>
  </si>
  <si>
    <t xml:space="preserve">一人で店に入るだけで「寂しい人と思われないか」を考えていた</t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</si>
  <si>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WenQuanYi Zen Hei"/>
        <family val="2"/>
      </rPr>
      <t xml:space="preserve">代のおじさんに誘われ、行きたくない焼肉に行った</t>
    </r>
  </si>
  <si>
    <t xml:space="preserve">Day2</t>
  </si>
  <si>
    <t xml:space="preserve">肉を焼き、サラダを取り分け、自慢話を笑って聞いた。帰宅後ぐったり</t>
  </si>
  <si>
    <t xml:space="preserve">誘ってくれたから断ったら悪い。この一言で何年も自分を売ってきた</t>
  </si>
  <si>
    <t xml:space="preserve">人を上・下でランク付けしていた。自分もランク付けされる側だった</t>
  </si>
  <si>
    <t xml:space="preserve">Day29</t>
  </si>
  <si>
    <t xml:space="preserve">人に合わせないと嫌われる。つるんでいないと価値がないと思っていた</t>
  </si>
  <si>
    <t xml:space="preserve">全く出かけなくなったら、むしろ心が静かになった</t>
  </si>
  <si>
    <t xml:space="preserve">家で一人が平気になって、ずっと無理に人に合わせていたと気づいた</t>
  </si>
  <si>
    <t xml:space="preserve">性格の悪い悪魔みたいな考えが出ても、自分を否定しないと決めた</t>
  </si>
  <si>
    <t xml:space="preserve">Day27</t>
  </si>
  <si>
    <t xml:space="preserve">「宇宙からのお試し」で片づけられた人が半年戻ってこなかった</t>
  </si>
  <si>
    <t xml:space="preserve">Day15</t>
  </si>
  <si>
    <t xml:space="preserve">「自分軸は持ってる」と思っていた私が、いちばん他人軸だった</t>
  </si>
  <si>
    <t xml:space="preserve">断るより、行って嫌な顔をしない方が楽だった</t>
  </si>
  <si>
    <t xml:space="preserve">頼めないのは、頼んだ後に悪口を言われる妄想が止まらないから</t>
  </si>
  <si>
    <t xml:space="preserve">Day6</t>
  </si>
  <si>
    <t xml:space="preserve">ポジティブな言葉を書こうとするほど、ノートを開けなくなった</t>
  </si>
  <si>
    <t xml:space="preserve">感謝ノートに感謝と書きながら、ずっと人を恨んでいた</t>
  </si>
  <si>
    <t xml:space="preserve">Day3</t>
  </si>
  <si>
    <t xml:space="preserve">妄想中に雑念が入るんじゃない。雑念の方が私の日常だった</t>
  </si>
  <si>
    <t xml:space="preserve">Day21</t>
  </si>
  <si>
    <t xml:space="preserve">幸せな妄想をしようとすると、既読スルーの画面が割り込んでくる</t>
  </si>
  <si>
    <t xml:space="preserve">Day24</t>
  </si>
  <si>
    <t xml:space="preserve">幸せなカップルを見て、祝福より先に嫉妬が出る自分が嫌だった</t>
  </si>
  <si>
    <t xml:space="preserve">Day16</t>
  </si>
  <si>
    <t xml:space="preserve">「ある」を探せと言われても、ないものばかり数えていた</t>
  </si>
  <si>
    <t xml:space="preserve">Day18</t>
  </si>
  <si>
    <t xml:space="preserve">収入を増やす妄想より「今月もこれだけ払えた」の方が嘘がなかった</t>
  </si>
  <si>
    <t xml:space="preserve">断っても断っても誘ってくるおじさん。メンタル最強（＝ネットワークビジネスのトップ）</t>
  </si>
  <si>
    <r>
      <rPr>
        <sz val="10"/>
        <color rgb="FF000000"/>
        <rFont val="WenQuanYi Zen Hei"/>
        <family val="2"/>
      </rPr>
      <t xml:space="preserve">彼の連絡待ちの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週間で占いに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回</t>
    </r>
  </si>
  <si>
    <t xml:space="preserve">Day10</t>
  </si>
  <si>
    <t xml:space="preserve">❺ 浅い悩み（本人が言葉にできる）と深い悩み（まだ言葉にできない）</t>
  </si>
  <si>
    <r>
      <rPr>
        <sz val="9"/>
        <color rgb="FF666666"/>
        <rFont val="WenQuanYi Zen Hei"/>
        <family val="2"/>
      </rPr>
      <t xml:space="preserve">浅い悩みで集客→深い悩みで信頼→個別相談。各行の「対応投稿」で</t>
    </r>
    <r>
      <rPr>
        <sz val="9"/>
        <color rgb="FF666666"/>
        <rFont val="Arial"/>
        <family val="0"/>
        <charset val="1"/>
      </rPr>
      <t xml:space="preserve">30</t>
    </r>
    <r>
      <rPr>
        <sz val="9"/>
        <color rgb="FF666666"/>
        <rFont val="WenQuanYi Zen Hei"/>
        <family val="2"/>
      </rPr>
      <t xml:space="preserve">日スケジュールとの対応を確認</t>
    </r>
  </si>
  <si>
    <t xml:space="preserve">浅い悩み</t>
  </si>
  <si>
    <t xml:space="preserve">対応投稿</t>
  </si>
  <si>
    <t xml:space="preserve">考えすぎて眠れない</t>
  </si>
  <si>
    <r>
      <rPr>
        <sz val="10"/>
        <color rgb="FF000000"/>
        <rFont val="Arial"/>
        <family val="0"/>
        <charset val="1"/>
      </rPr>
      <t xml:space="preserve">Day9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14</t>
    </r>
  </si>
  <si>
    <t xml:space="preserve">役に立たない私は捨てられる</t>
  </si>
  <si>
    <t xml:space="preserve">既読スルーが気になる</t>
  </si>
  <si>
    <t xml:space="preserve">Day17</t>
  </si>
  <si>
    <t xml:space="preserve">断ったら“悪い人”になる</t>
  </si>
  <si>
    <t xml:space="preserve">Day22</t>
  </si>
  <si>
    <t xml:space="preserve">人の顔色を見てしまう</t>
  </si>
  <si>
    <t xml:space="preserve">Day4</t>
  </si>
  <si>
    <t xml:space="preserve">頼むと無能だとバレる</t>
  </si>
  <si>
    <t xml:space="preserve">頼れない・任せられない</t>
  </si>
  <si>
    <t xml:space="preserve">任せると裏切られ、見る目のなさが証明される</t>
  </si>
  <si>
    <t xml:space="preserve">Day25</t>
  </si>
  <si>
    <t xml:space="preserve">誘いを断れない</t>
  </si>
  <si>
    <r>
      <rPr>
        <sz val="10"/>
        <color rgb="FF000000"/>
        <rFont val="Arial"/>
        <family val="0"/>
        <charset val="1"/>
      </rPr>
      <t xml:space="preserve">Day2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22</t>
    </r>
  </si>
  <si>
    <t xml:space="preserve">休むと価値がなくなる</t>
  </si>
  <si>
    <t xml:space="preserve">一人で行動できない</t>
  </si>
  <si>
    <t xml:space="preserve">人の機嫌を読まないと危険なことが起きる</t>
  </si>
  <si>
    <t xml:space="preserve">ママ友・職場の人間関係で疲れる</t>
  </si>
  <si>
    <r>
      <rPr>
        <sz val="10"/>
        <color rgb="FF000000"/>
        <rFont val="WenQuanYi Zen Hei"/>
        <family val="2"/>
      </rPr>
      <t xml:space="preserve">バズ</t>
    </r>
    <r>
      <rPr>
        <sz val="10"/>
        <color rgb="FF000000"/>
        <rFont val="Arial"/>
        <family val="0"/>
        <charset val="1"/>
      </rPr>
      <t xml:space="preserve">100</t>
    </r>
  </si>
  <si>
    <t xml:space="preserve">自分の感覚は間違っている→先生・占いに答えをもらう</t>
  </si>
  <si>
    <r>
      <rPr>
        <sz val="10"/>
        <color rgb="FF000000"/>
        <rFont val="Arial"/>
        <family val="0"/>
        <charset val="1"/>
      </rPr>
      <t xml:space="preserve">Day10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24</t>
    </r>
  </si>
  <si>
    <t xml:space="preserve">人と比べて落ち込む</t>
  </si>
  <si>
    <t xml:space="preserve">ネガティブを認めたら悪い現実になる</t>
  </si>
  <si>
    <t xml:space="preserve">Day12</t>
  </si>
  <si>
    <t xml:space="preserve">感謝ノートが続かない</t>
  </si>
  <si>
    <t xml:space="preserve">怒りを手放したら、ひどいことをされた事実まで無かったことになる</t>
  </si>
  <si>
    <t xml:space="preserve">ジャーナリングで何を書けばいいかわからない</t>
  </si>
  <si>
    <t xml:space="preserve">Day7</t>
  </si>
  <si>
    <t xml:space="preserve">幸せになったら今いる人から嫌われる</t>
  </si>
  <si>
    <t xml:space="preserve">妄想・瞑想中に雑念が入る</t>
  </si>
  <si>
    <t xml:space="preserve">お金を持つと責められる・奪われる・騙される</t>
  </si>
  <si>
    <t xml:space="preserve">ポジティブになれない</t>
  </si>
  <si>
    <r>
      <rPr>
        <sz val="10"/>
        <color rgb="FF000000"/>
        <rFont val="Arial"/>
        <family val="0"/>
        <charset val="1"/>
      </rPr>
      <t xml:space="preserve">Day1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20</t>
    </r>
  </si>
  <si>
    <t xml:space="preserve">一人で満たされると誰からも必要とされなくなる</t>
  </si>
  <si>
    <t xml:space="preserve">お金を使うと罪悪感</t>
  </si>
  <si>
    <t xml:space="preserve">Day5</t>
  </si>
  <si>
    <t xml:space="preserve">本音を言うと関係が壊れる</t>
  </si>
  <si>
    <t xml:space="preserve">Day19</t>
  </si>
  <si>
    <t xml:space="preserve">講座を受けても変わらない</t>
  </si>
  <si>
    <t xml:space="preserve">愛されるには合わせ続けなければならない</t>
  </si>
  <si>
    <t xml:space="preserve">自分軸がわからない</t>
  </si>
  <si>
    <t xml:space="preserve">妄想しても現実との差を見せつけられるだけで怖い</t>
  </si>
  <si>
    <t xml:space="preserve">「ある」を見つけられない</t>
  </si>
  <si>
    <t xml:space="preserve">「変わらない自分」の方が安全</t>
  </si>
  <si>
    <t xml:space="preserve">Day30</t>
  </si>
  <si>
    <t xml:space="preserve">学びをやめたら何もない自分になる</t>
  </si>
  <si>
    <t xml:space="preserve">自分で正解を決める責任が怖い</t>
  </si>
  <si>
    <t xml:space="preserve">恋愛（特に復縁）を中心ネタにするべきか</t>
  </si>
  <si>
    <r>
      <rPr>
        <sz val="9"/>
        <color rgb="FF666666"/>
        <rFont val="WenQuanYi Zen Hei"/>
        <family val="2"/>
      </rPr>
      <t xml:space="preserve">結論：復縁成就は中心にしない。恋愛依存・連絡待ち・占い依存は積極的に扱う（全体の</t>
    </r>
    <r>
      <rPr>
        <sz val="9"/>
        <color rgb="FF666666"/>
        <rFont val="Arial"/>
        <family val="0"/>
        <charset val="1"/>
      </rPr>
      <t xml:space="preserve">10</t>
    </r>
    <r>
      <rPr>
        <sz val="9"/>
        <color rgb="FF666666"/>
        <rFont val="WenQuanYi Zen Hei"/>
        <family val="2"/>
      </rPr>
      <t xml:space="preserve">〜</t>
    </r>
    <r>
      <rPr>
        <sz val="9"/>
        <color rgb="FF666666"/>
        <rFont val="Arial"/>
        <family val="0"/>
        <charset val="1"/>
      </rPr>
      <t xml:space="preserve">15</t>
    </r>
    <r>
      <rPr>
        <sz val="9"/>
        <color rgb="FF666666"/>
        <rFont val="WenQuanYi Zen Hei"/>
        <family val="2"/>
      </rPr>
      <t xml:space="preserve">％）</t>
    </r>
  </si>
  <si>
    <t xml:space="preserve">推奨度</t>
  </si>
  <si>
    <t xml:space="preserve">理由</t>
  </si>
  <si>
    <t xml:space="preserve">扱い方</t>
  </si>
  <si>
    <t xml:space="preserve">復縁を叶える方法</t>
  </si>
  <si>
    <t xml:space="preserve">低</t>
  </si>
  <si>
    <t xml:space="preserve">本人に実績がなく、訴求と実績が一致しない。成果を約束すると信頼・クレームリスク</t>
  </si>
  <si>
    <t xml:space="preserve">「戻るよね」とは言わない。相談は受けるが「自分の気持ちを取り戻す」支援として</t>
  </si>
  <si>
    <t xml:space="preserve">既読スルーで病む心理</t>
  </si>
  <si>
    <t xml:space="preserve">高</t>
  </si>
  <si>
    <t xml:space="preserve">悩みが具体的で浅い悩みとして集客力が高い</t>
  </si>
  <si>
    <r>
      <rPr>
        <sz val="10"/>
        <color rgb="FF000000"/>
        <rFont val="Arial"/>
        <family val="0"/>
        <charset val="1"/>
      </rPr>
      <t xml:space="preserve">Day17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つの質問ノート</t>
    </r>
  </si>
  <si>
    <t xml:space="preserve">占い依存・恋愛依存</t>
  </si>
  <si>
    <t xml:space="preserve">非常に高</t>
  </si>
  <si>
    <r>
      <rPr>
        <sz val="10"/>
        <color rgb="FF000000"/>
        <rFont val="WenQuanYi Zen Hei"/>
        <family val="2"/>
      </rPr>
      <t xml:space="preserve">週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回の占い通いという強い当事者性</t>
    </r>
  </si>
  <si>
    <r>
      <rPr>
        <sz val="10"/>
        <color rgb="FF000000"/>
        <rFont val="Arial"/>
        <family val="0"/>
        <charset val="1"/>
      </rPr>
      <t xml:space="preserve">Day10</t>
    </r>
    <r>
      <rPr>
        <sz val="10"/>
        <color rgb="FF000000"/>
        <rFont val="WenQuanYi Zen Hei"/>
        <family val="2"/>
      </rPr>
      <t xml:space="preserve">：占い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回</t>
    </r>
  </si>
  <si>
    <t xml:space="preserve">執着・嫉妬・妄想</t>
  </si>
  <si>
    <t xml:space="preserve">ノート術・妄想への接続が自然</t>
  </si>
  <si>
    <r>
      <rPr>
        <sz val="10"/>
        <color rgb="FF000000"/>
        <rFont val="Arial"/>
        <family val="0"/>
        <charset val="1"/>
      </rPr>
      <t xml:space="preserve">Day16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24</t>
    </r>
  </si>
  <si>
    <t xml:space="preserve">自分軸・本音の吐き出し</t>
  </si>
  <si>
    <t xml:space="preserve">最優先</t>
  </si>
  <si>
    <t xml:space="preserve">恋愛以外の読者にも届く。恋愛層もここで拾える</t>
  </si>
  <si>
    <t xml:space="preserve">全体の主軸</t>
  </si>
  <si>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WenQuanYi Zen Hei"/>
        <family val="2"/>
      </rPr>
      <t xml:space="preserve">禁妄想（成人向け動画を使うイメージング）</t>
    </r>
  </si>
  <si>
    <r>
      <rPr>
        <sz val="10"/>
        <color rgb="FF000000"/>
        <rFont val="WenQuanYi Zen Hei"/>
        <family val="2"/>
      </rPr>
      <t xml:space="preserve">公開投稿</t>
    </r>
    <r>
      <rPr>
        <sz val="10"/>
        <color rgb="FF000000"/>
        <rFont val="Arial"/>
        <family val="0"/>
        <charset val="1"/>
      </rPr>
      <t xml:space="preserve">NG</t>
    </r>
  </si>
  <si>
    <r>
      <rPr>
        <sz val="10"/>
        <color rgb="FF000000"/>
        <rFont val="Arial"/>
        <family val="0"/>
        <charset val="1"/>
      </rPr>
      <t xml:space="preserve">Threads</t>
    </r>
    <r>
      <rPr>
        <sz val="10"/>
        <color rgb="FF000000"/>
        <rFont val="WenQuanYi Zen Hei"/>
        <family val="2"/>
      </rPr>
      <t xml:space="preserve">の性的コンテンツ規約・配信抑制リスク、ブランド毀損</t>
    </r>
  </si>
  <si>
    <t xml:space="preserve">個別相談内で、本人同意のうえ言葉を選んで扱う程度に留める</t>
  </si>
  <si>
    <t xml:space="preserve">■ 復縁相談が来たときの言い換え</t>
  </si>
  <si>
    <r>
      <rPr>
        <b val="true"/>
        <sz val="10"/>
        <color rgb="FFFFFFFF"/>
        <rFont val="Arial"/>
        <family val="0"/>
        <charset val="1"/>
      </rPr>
      <t xml:space="preserve">NG</t>
    </r>
    <r>
      <rPr>
        <b val="true"/>
        <sz val="10"/>
        <color rgb="FFFFFFFF"/>
        <rFont val="WenQuanYi Zen Hei"/>
        <family val="2"/>
      </rPr>
      <t xml:space="preserve">（実績と矛盾）</t>
    </r>
  </si>
  <si>
    <r>
      <rPr>
        <b val="true"/>
        <sz val="10"/>
        <color rgb="FFFFFFFF"/>
        <rFont val="Arial"/>
        <family val="0"/>
        <charset val="1"/>
      </rPr>
      <t xml:space="preserve">OK</t>
    </r>
    <r>
      <rPr>
        <b val="true"/>
        <sz val="10"/>
        <color rgb="FFFFFFFF"/>
        <rFont val="WenQuanYi Zen Hei"/>
        <family val="2"/>
      </rPr>
      <t xml:space="preserve">（倫子さんの当事者性で言える）</t>
    </r>
  </si>
  <si>
    <t xml:space="preserve">彼は戻ってきますよ</t>
  </si>
  <si>
    <t xml:space="preserve">戻る・戻らないの前に、あなたが「本当はどうしたい」かを一緒に書き出そう</t>
  </si>
  <si>
    <t xml:space="preserve">復縁を引き寄せる方法</t>
  </si>
  <si>
    <t xml:space="preserve">連絡を待つ夜を、自分を取り戻す夜に変える方法</t>
  </si>
  <si>
    <t xml:space="preserve">私も復縁しました</t>
  </si>
  <si>
    <r>
      <rPr>
        <sz val="10"/>
        <color rgb="FF000000"/>
        <rFont val="WenQuanYi Zen Hei"/>
        <family val="2"/>
      </rPr>
      <t xml:space="preserve">私も占いに週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回行くほど、答えを外に探していた</t>
    </r>
  </si>
  <si>
    <r>
      <rPr>
        <b val="true"/>
        <sz val="14"/>
        <color rgb="FF5B3A6B"/>
        <rFont val="WenQuanYi Zen Hei"/>
        <family val="2"/>
      </rPr>
      <t xml:space="preserve">新バズ投稿</t>
    </r>
    <r>
      <rPr>
        <b val="true"/>
        <sz val="14"/>
        <color rgb="FF5B3A6B"/>
        <rFont val="Arial"/>
        <family val="0"/>
        <charset val="1"/>
      </rPr>
      <t xml:space="preserve">100</t>
    </r>
    <r>
      <rPr>
        <b val="true"/>
        <sz val="14"/>
        <color rgb="FF5B3A6B"/>
        <rFont val="WenQuanYi Zen Hei"/>
        <family val="2"/>
      </rPr>
      <t xml:space="preserve">（前回案と重複しない切り口）</t>
    </r>
  </si>
  <si>
    <r>
      <rPr>
        <sz val="9"/>
        <color rgb="FF666666"/>
        <rFont val="WenQuanYi Zen Hei"/>
        <family val="2"/>
      </rPr>
      <t xml:space="preserve">冒頭</t>
    </r>
    <r>
      <rPr>
        <sz val="9"/>
        <color rgb="FF666666"/>
        <rFont val="Arial"/>
        <family val="0"/>
        <charset val="1"/>
      </rPr>
      <t xml:space="preserve">A</t>
    </r>
    <r>
      <rPr>
        <sz val="9"/>
        <color rgb="FF666666"/>
        <rFont val="WenQuanYi Zen Hei"/>
        <family val="2"/>
      </rPr>
      <t xml:space="preserve">＝衝撃の事実／</t>
    </r>
    <r>
      <rPr>
        <sz val="9"/>
        <color rgb="FF666666"/>
        <rFont val="Arial"/>
        <family val="0"/>
        <charset val="1"/>
      </rPr>
      <t xml:space="preserve">B</t>
    </r>
    <r>
      <rPr>
        <sz val="9"/>
        <color rgb="FF666666"/>
        <rFont val="WenQuanYi Zen Hei"/>
        <family val="2"/>
      </rPr>
      <t xml:space="preserve">＝常識破壊。構造は「構造パターン」シートの</t>
    </r>
    <r>
      <rPr>
        <sz val="9"/>
        <color rgb="FF666666"/>
        <rFont val="Arial"/>
        <family val="0"/>
        <charset val="1"/>
      </rPr>
      <t xml:space="preserve">S1</t>
    </r>
    <r>
      <rPr>
        <sz val="9"/>
        <color rgb="FF666666"/>
        <rFont val="WenQuanYi Zen Hei"/>
        <family val="2"/>
      </rPr>
      <t xml:space="preserve">〜</t>
    </r>
    <r>
      <rPr>
        <sz val="9"/>
        <color rgb="FF666666"/>
        <rFont val="Arial"/>
        <family val="0"/>
        <charset val="1"/>
      </rPr>
      <t xml:space="preserve">S8</t>
    </r>
    <r>
      <rPr>
        <sz val="9"/>
        <color rgb="FF666666"/>
        <rFont val="WenQuanYi Zen Hei"/>
        <family val="2"/>
      </rPr>
      <t xml:space="preserve">。</t>
    </r>
    <r>
      <rPr>
        <sz val="9"/>
        <color rgb="FF666666"/>
        <rFont val="Arial"/>
        <family val="0"/>
        <charset val="1"/>
      </rPr>
      <t xml:space="preserve">31</t>
    </r>
    <r>
      <rPr>
        <sz val="9"/>
        <color rgb="FF666666"/>
        <rFont val="WenQuanYi Zen Hei"/>
        <family val="2"/>
      </rPr>
      <t xml:space="preserve">日目以降はここから補充</t>
    </r>
  </si>
  <si>
    <t xml:space="preserve">カテゴリ</t>
  </si>
  <si>
    <t xml:space="preserve">深さ</t>
  </si>
  <si>
    <t xml:space="preserve">コメント誘導</t>
  </si>
  <si>
    <t xml:space="preserve">使用日・結果メモ</t>
  </si>
  <si>
    <t xml:space="preserve">本音暴露・性格の悪い私</t>
  </si>
  <si>
    <t xml:space="preserve">友達のランチの誘いを「仕事」と嘘をついて断り、家で一人でアイスを食べていた。</t>
  </si>
  <si>
    <t xml:space="preserve">断る理由に嘘をつくのは、優しさじゃなくて怖さ。</t>
  </si>
  <si>
    <t xml:space="preserve">S1</t>
  </si>
  <si>
    <t xml:space="preserve">断るときについた嘘、ある？</t>
  </si>
  <si>
    <t xml:space="preserve">母に「あんたは手がかからない子」と言われ続けた。だから今も、誰にも手をかけてもらえない。</t>
  </si>
  <si>
    <t xml:space="preserve">「手のかからない子」は、褒め言葉じゃなかった。</t>
  </si>
  <si>
    <t xml:space="preserve">S2</t>
  </si>
  <si>
    <t xml:space="preserve">子どもの頃に言われて、今も残ってる言葉は？</t>
  </si>
  <si>
    <r>
      <rPr>
        <sz val="10"/>
        <color rgb="FF000000"/>
        <rFont val="WenQuanYi Zen Hei"/>
        <family val="2"/>
      </rPr>
      <t xml:space="preserve">グループ</t>
    </r>
    <r>
      <rPr>
        <sz val="10"/>
        <color rgb="FF000000"/>
        <rFont val="Arial"/>
        <family val="0"/>
        <charset val="1"/>
      </rPr>
      <t xml:space="preserve">LINE</t>
    </r>
    <r>
      <rPr>
        <sz val="10"/>
        <color rgb="FF000000"/>
        <rFont val="WenQuanYi Zen Hei"/>
        <family val="2"/>
      </rPr>
      <t xml:space="preserve">の返信を、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分かけて書き直して結局送らなかった。</t>
    </r>
  </si>
  <si>
    <t xml:space="preserve">返信が遅い人は、雑なんじゃない。考えすぎてるだけ。</t>
  </si>
  <si>
    <r>
      <rPr>
        <sz val="10"/>
        <color rgb="FF000000"/>
        <rFont val="Arial"/>
        <family val="0"/>
        <charset val="1"/>
      </rPr>
      <t xml:space="preserve">LINE</t>
    </r>
    <r>
      <rPr>
        <sz val="10"/>
        <color rgb="FF000000"/>
        <rFont val="WenQuanYi Zen Hei"/>
        <family val="2"/>
      </rPr>
      <t xml:space="preserve">の下書き、何回消す？</t>
    </r>
  </si>
  <si>
    <t xml:space="preserve">人が失敗した話を聞くと、少しだけホッとする自分がいる。</t>
  </si>
  <si>
    <t xml:space="preserve">人の不幸でホッとするのは、あなたが限界まで頑張ってる証拠。</t>
  </si>
  <si>
    <t xml:space="preserve">言えないけど、ホッとした経験ある？</t>
  </si>
  <si>
    <t xml:space="preserve">ママ友を見つけたら、気づかれる前に反対方向へ歩いていた。</t>
  </si>
  <si>
    <t xml:space="preserve">人付き合いを避けるのは、人が嫌いだからじゃない。</t>
  </si>
  <si>
    <t xml:space="preserve">つい避けてしまう人、いる？</t>
  </si>
  <si>
    <t xml:space="preserve">「優しいね」と言われるたび、自分が空っぽになっていく気がした。</t>
  </si>
  <si>
    <t xml:space="preserve">優しい人ほど、自分にだけは冷たい。</t>
  </si>
  <si>
    <t xml:space="preserve">S7</t>
  </si>
  <si>
    <t xml:space="preserve">自分にだけ厳しいこと、何？</t>
  </si>
  <si>
    <t xml:space="preserve">会計のとき「ここは私が」と言いながら、帰り道で残高を計算していた。</t>
  </si>
  <si>
    <t xml:space="preserve">おごるのが苦しい人は、ケチなんじゃない。</t>
  </si>
  <si>
    <t xml:space="preserve">見栄で払ったこと、ある？</t>
  </si>
  <si>
    <t xml:space="preserve">褒められると、なぜか怒られるより居心地が悪い。</t>
  </si>
  <si>
    <t xml:space="preserve">褒め言葉を受け取れないのは、謙虚だからじゃない。</t>
  </si>
  <si>
    <t xml:space="preserve">褒められたとき、何て返してる？</t>
  </si>
  <si>
    <r>
      <rPr>
        <sz val="10"/>
        <color rgb="FF000000"/>
        <rFont val="WenQuanYi Zen Hei"/>
        <family val="2"/>
      </rPr>
      <t xml:space="preserve">職場の飲み会、行かない理由を考えるのに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週間かかった。</t>
    </r>
  </si>
  <si>
    <t xml:space="preserve">「行きたくない」は、それだけで立派な理由。</t>
  </si>
  <si>
    <t xml:space="preserve">S5</t>
  </si>
  <si>
    <t xml:space="preserve">行きたくない集まり、今ある？</t>
  </si>
  <si>
    <t xml:space="preserve">親の老後を心配しているふりをして、本当は解放される日を待っていた。</t>
  </si>
  <si>
    <t xml:space="preserve">親を大事にできない自分を、責めなくていい。</t>
  </si>
  <si>
    <t xml:space="preserve">S8</t>
  </si>
  <si>
    <t xml:space="preserve">家族に対して言えない本音、ある？</t>
  </si>
  <si>
    <r>
      <rPr>
        <sz val="10"/>
        <color rgb="FF000000"/>
        <rFont val="Arial"/>
        <family val="0"/>
        <charset val="1"/>
      </rPr>
      <t xml:space="preserve">SNS</t>
    </r>
    <r>
      <rPr>
        <sz val="10"/>
        <color rgb="FF000000"/>
        <rFont val="WenQuanYi Zen Hei"/>
        <family val="2"/>
      </rPr>
      <t xml:space="preserve">で「いいね」を押すかどうか、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分迷った。</t>
    </r>
  </si>
  <si>
    <t xml:space="preserve">人の投稿に反応できないのは、性格が悪いからじゃない。</t>
  </si>
  <si>
    <t xml:space="preserve">いいね押すの、迷う人いる？</t>
  </si>
  <si>
    <t xml:space="preserve">謝られても許せない。許せない自分も許せない。</t>
  </si>
  <si>
    <t xml:space="preserve">「許さなきゃ前に進めない」は嘘だった。</t>
  </si>
  <si>
    <t xml:space="preserve">まだ許せてない人、いる？</t>
  </si>
  <si>
    <t xml:space="preserve">電話が鳴ると、相手が誰でも心臓がバクバクする。</t>
  </si>
  <si>
    <t xml:space="preserve">電話が苦手な人は、気が弱いんじゃない。</t>
  </si>
  <si>
    <t xml:space="preserve">電話、出る派？折り返す派？</t>
  </si>
  <si>
    <t xml:space="preserve">「助けて」と言うくらいなら、一人で倒れた方がマシだと思っていた。</t>
  </si>
  <si>
    <t xml:space="preserve">助けを求められないのは、強さじゃない。</t>
  </si>
  <si>
    <t xml:space="preserve">最後に「助けて」と言えたのはいつ？</t>
  </si>
  <si>
    <r>
      <rPr>
        <sz val="10"/>
        <color rgb="FF000000"/>
        <rFont val="WenQuanYi Zen Hei"/>
        <family val="2"/>
      </rPr>
      <t xml:space="preserve">嫌いな人の悪口を、ノートに書いたら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ページになった。</t>
    </r>
  </si>
  <si>
    <t xml:space="preserve">悪口を言わない人ほど、心の中は悪口でいっぱい。</t>
  </si>
  <si>
    <t xml:space="preserve">心の中で毎日言ってる悪口、ある？</t>
  </si>
  <si>
    <t xml:space="preserve">人に期待しないと決めた日から、誰とも本当には仲良くなれなくなった。</t>
  </si>
  <si>
    <t xml:space="preserve">「人に期待しない」は、自分を守るための鎧だった。</t>
  </si>
  <si>
    <t xml:space="preserve">人に期待するの、やめたことある？</t>
  </si>
  <si>
    <t xml:space="preserve">「怒ってないよ」と言いながら、皿を洗う音が大きくなっていた。</t>
  </si>
  <si>
    <t xml:space="preserve">怒りを隠す人ほど、怒りが漏れている。</t>
  </si>
  <si>
    <t xml:space="preserve">怒りが漏れるクセ、何？</t>
  </si>
  <si>
    <t xml:space="preserve">頑張っている人を見ると、応援より先に「どうせ失敗する」と思ってしまう。</t>
  </si>
  <si>
    <t xml:space="preserve">人の挑戦を応援できないのは、自分が挑戦を諦めたから。</t>
  </si>
  <si>
    <t xml:space="preserve">本当は挑戦したかったこと、ある？</t>
  </si>
  <si>
    <t xml:space="preserve">人の話を聞きながら、次に何を言えば嫌われないかだけ考えていた。</t>
  </si>
  <si>
    <t xml:space="preserve">聞き上手は、実は一番疲れている。</t>
  </si>
  <si>
    <t xml:space="preserve">会話中、頭の中で何考えてる？</t>
  </si>
  <si>
    <t xml:space="preserve">私は人に好かれたかったんじゃない。嫌われるのが怖かっただけ。</t>
  </si>
  <si>
    <t xml:space="preserve">「好かれたい」と「嫌われたくない」は、真逆の生き方。</t>
  </si>
  <si>
    <t xml:space="preserve">あなたはどっち派？</t>
  </si>
  <si>
    <t xml:space="preserve">潜在意識・引き寄せの常識破壊</t>
  </si>
  <si>
    <t xml:space="preserve">「手放せば叶う」と言われて手放した。本当に何も来なかった。</t>
  </si>
  <si>
    <t xml:space="preserve">手放そうとしている時点で、まだ握っている。</t>
  </si>
  <si>
    <t xml:space="preserve">手放せなかったもの、何？</t>
  </si>
  <si>
    <r>
      <rPr>
        <sz val="10"/>
        <color rgb="FF000000"/>
        <rFont val="WenQuanYi Zen Hei"/>
        <family val="2"/>
      </rPr>
      <t xml:space="preserve">引き寄せを学んで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年。叶ったのは駐車場が空いていることくらいだった。</t>
    </r>
  </si>
  <si>
    <t xml:space="preserve">小さな引き寄せが叶うのは、潜在意識の浅いところだけ。</t>
  </si>
  <si>
    <t xml:space="preserve">引き寄せで叶った一番小さなこと、教えて</t>
  </si>
  <si>
    <t xml:space="preserve">「口ぐせを変えれば人生が変わる」。口ぐせを変えたら、心の声がうるさくなった。</t>
  </si>
  <si>
    <t xml:space="preserve">言葉を変えても、心の声は変わらない。</t>
  </si>
  <si>
    <t xml:space="preserve">心の声で一番多い口ぐせは？</t>
  </si>
  <si>
    <r>
      <rPr>
        <sz val="10"/>
        <color rgb="FF000000"/>
        <rFont val="WenQuanYi Zen Hei"/>
        <family val="2"/>
      </rPr>
      <t xml:space="preserve">潜在意識の本を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冊読んだ。読んだ冊数だけ「私はダメだ」が増えた。</t>
    </r>
  </si>
  <si>
    <t xml:space="preserve">学べば学ぶほど変われない人がいる。</t>
  </si>
  <si>
    <t xml:space="preserve">自己啓発本、何冊読んだ？</t>
  </si>
  <si>
    <t xml:space="preserve">「宇宙にオーダーすれば届く」。私のオーダーはずっと不在票だった。</t>
  </si>
  <si>
    <t xml:space="preserve">願いを放つ前に、本音を出さないと届かない。</t>
  </si>
  <si>
    <t xml:space="preserve">宇宙にオーダーしたこと、ある？</t>
  </si>
  <si>
    <t xml:space="preserve">「現実は自分が作っている」と言われ、詐欺に遭った自分をさらに責めた。</t>
  </si>
  <si>
    <t xml:space="preserve">「全部自分が引き寄せた」は、傷ついた人を二度傷つける。</t>
  </si>
  <si>
    <t xml:space="preserve">自分を責めすぎたスピの言葉は？</t>
  </si>
  <si>
    <t xml:space="preserve">満月に願い事を書いた。翌朝、何を書いたか忘れていた。</t>
  </si>
  <si>
    <t xml:space="preserve">願い事は、書いた回数より浸った時間。</t>
  </si>
  <si>
    <t xml:space="preserve">満月・新月の願い、書く派？</t>
  </si>
  <si>
    <t xml:space="preserve">「被害者意識を捨てなさい」と言われて、被害を受けた事実まで捨てそうになった。</t>
  </si>
  <si>
    <t xml:space="preserve">被害者意識を捨てる前に、被害を認める必要がある。</t>
  </si>
  <si>
    <t xml:space="preserve">認めてほしかった「しんどさ」は？</t>
  </si>
  <si>
    <t xml:space="preserve">「潜在意識はノーを理解しない」と聞いて、怖くて「〜しない」が言えなくなった。</t>
  </si>
  <si>
    <t xml:space="preserve">言葉の細かいルールを守るほど、潜在意識は固まる。</t>
  </si>
  <si>
    <t xml:space="preserve">守ってた謎のスピルール、ある？</t>
  </si>
  <si>
    <t xml:space="preserve">引き寄せの先生が、裏で一番お金に困っていた。</t>
  </si>
  <si>
    <t xml:space="preserve">教えている人が叶っているとは限らない。</t>
  </si>
  <si>
    <t xml:space="preserve">学んでいて違和感を持った瞬間は？</t>
  </si>
  <si>
    <t xml:space="preserve">ビジョンボードを貼った。見るたびに「まだ叶ってない」と落ち込んだ。</t>
  </si>
  <si>
    <t xml:space="preserve">ビジョンボードは、ネガティブな人には逆効果のこともある。</t>
  </si>
  <si>
    <t xml:space="preserve">ビジョンボード、作ったことある？</t>
  </si>
  <si>
    <r>
      <rPr>
        <sz val="10"/>
        <color rgb="FF000000"/>
        <rFont val="WenQuanYi Zen Hei"/>
        <family val="2"/>
      </rPr>
      <t xml:space="preserve">「執着しないで」と言われるほど、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時間その人のことを考えていた。</t>
    </r>
  </si>
  <si>
    <t xml:space="preserve">執着は手放すものじゃなく、書き出すもの。</t>
  </si>
  <si>
    <t xml:space="preserve">今、執着してることは何？</t>
  </si>
  <si>
    <t xml:space="preserve">瞑想中、ずっと晩ごはんのことを考えていた。</t>
  </si>
  <si>
    <t xml:space="preserve">瞑想で無になれない人の方が、普通です。</t>
  </si>
  <si>
    <t xml:space="preserve">瞑想中に考えちゃうこと、何？</t>
  </si>
  <si>
    <r>
      <rPr>
        <sz val="10"/>
        <color rgb="FF000000"/>
        <rFont val="WenQuanYi Zen Hei"/>
        <family val="2"/>
      </rPr>
      <t xml:space="preserve">「年収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万上がりました」は、潜在意識の力じゃないと思っている。</t>
    </r>
  </si>
  <si>
    <t xml:space="preserve">想定内の変化は、潜在意識を使ったうちに入らない。</t>
  </si>
  <si>
    <t xml:space="preserve">本当にぶっ飛んだ願い、ある？</t>
  </si>
  <si>
    <t xml:space="preserve">「ネガティブな言葉は現実化する」が怖くて、愚痴すら言えなくなった。</t>
  </si>
  <si>
    <t xml:space="preserve">ネガティブは、言わないから現実化する。</t>
  </si>
  <si>
    <t xml:space="preserve">愚痴を我慢してること、ある？</t>
  </si>
  <si>
    <t xml:space="preserve">「すでに叶っている前提で」と言われても、通帳を見た瞬間に前提が崩れる。</t>
  </si>
  <si>
    <t xml:space="preserve">前提は気合いで作れない。</t>
  </si>
  <si>
    <t xml:space="preserve">前提が崩れる瞬間って、いつ？</t>
  </si>
  <si>
    <r>
      <rPr>
        <sz val="10"/>
        <color rgb="FF000000"/>
        <rFont val="WenQuanYi Zen Hei"/>
        <family val="2"/>
      </rPr>
      <t xml:space="preserve">パワースポットを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か所巡った。一番パワーをくれたのは一人で食べたおそば屋さんだった。</t>
    </r>
  </si>
  <si>
    <t xml:space="preserve">パワースポットより、一人で満たされる場所。</t>
  </si>
  <si>
    <t xml:space="preserve">あなたの一人で満たされる場所は？</t>
  </si>
  <si>
    <r>
      <rPr>
        <sz val="10"/>
        <color rgb="FF000000"/>
        <rFont val="WenQuanYi Zen Hei"/>
        <family val="2"/>
      </rPr>
      <t xml:space="preserve">「頑張らなくても叶う」を信じて、頑張らなかった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年。何も起きなかった。</t>
    </r>
  </si>
  <si>
    <t xml:space="preserve">頑張らないことと、何もしないことは違う。</t>
  </si>
  <si>
    <t xml:space="preserve">頑張らないと決めて失敗したこと、ある？</t>
  </si>
  <si>
    <t xml:space="preserve">「感情は天気みたいなもの」と言われても、私の天気はずっと台風だった。</t>
  </si>
  <si>
    <t xml:space="preserve">感情を流せない人は、まず書いて外に出す。</t>
  </si>
  <si>
    <t xml:space="preserve">今日の心の天気は？</t>
  </si>
  <si>
    <t xml:space="preserve">引き寄せをやめた月に、一番欲しかったものが来た。</t>
  </si>
  <si>
    <t xml:space="preserve">「叶えたい」の力みが、叶うのを止めていた。</t>
  </si>
  <si>
    <t xml:space="preserve">やめた途端に叶ったこと、ある？</t>
  </si>
  <si>
    <t xml:space="preserve">ノート・毒出しワーク</t>
  </si>
  <si>
    <t xml:space="preserve">ノートに書いた悪口を読み返したら、全部「さみしい」だった。</t>
  </si>
  <si>
    <t xml:space="preserve">怒りの下には、いつも別の感情がいる。</t>
  </si>
  <si>
    <t xml:space="preserve">怒りの下にある感情、何だと思う？</t>
  </si>
  <si>
    <r>
      <rPr>
        <sz val="10"/>
        <color rgb="FF000000"/>
        <rFont val="WenQuanYi Zen Hei"/>
        <family val="2"/>
      </rPr>
      <t xml:space="preserve">寝る前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分の「ムカついたことノート」で、夜中に目が覚めなくなった。</t>
    </r>
  </si>
  <si>
    <t xml:space="preserve">寝る前のポジティブ日記より、ムカつき日記。</t>
  </si>
  <si>
    <t xml:space="preserve">S3</t>
  </si>
  <si>
    <t xml:space="preserve">寝る前に頭がうるさい派？</t>
  </si>
  <si>
    <r>
      <rPr>
        <sz val="10"/>
        <color rgb="FF000000"/>
        <rFont val="WenQuanYi Zen Hei"/>
        <family val="2"/>
      </rPr>
      <t xml:space="preserve">ノートを書いていたら、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WenQuanYi Zen Hei"/>
        <family val="2"/>
      </rPr>
      <t xml:space="preserve">年前に言われた一言が出てきて手が止まった。</t>
    </r>
  </si>
  <si>
    <t xml:space="preserve">忘れたと思っていた言葉ほど、今の自分を動かしている。</t>
  </si>
  <si>
    <t xml:space="preserve">ふと思い出す昔の一言、ある？</t>
  </si>
  <si>
    <t xml:space="preserve">ジャーナリングは「書く」より「破る」が効いた日がある。</t>
  </si>
  <si>
    <t xml:space="preserve">書いた紙は、取っておかなくていい。</t>
  </si>
  <si>
    <t xml:space="preserve">書いたノート、取っておく派？捨てる派？</t>
  </si>
  <si>
    <t xml:space="preserve">字がきれいなノートほど、本音が書けていなかった。</t>
  </si>
  <si>
    <t xml:space="preserve">ジャーナリングは殴り書きの方が本音が出る。</t>
  </si>
  <si>
    <t xml:space="preserve">殴り書きでもいい？という質問への答え</t>
  </si>
  <si>
    <t xml:space="preserve">「本当はどうしたい？」の答えが「消えたい」だった日、私はペンを置かなかった。</t>
  </si>
  <si>
    <t xml:space="preserve">本音が重すぎても、書くのをやめなくていい（つらい時は専門家にも）。</t>
  </si>
  <si>
    <t xml:space="preserve">本音が怖くて書けなかったこと、ある？</t>
  </si>
  <si>
    <t xml:space="preserve">ノートに「今日できたこと」を書こうとして、「生きた」しか出てこなかった。</t>
  </si>
  <si>
    <t xml:space="preserve">「生きた」も立派な「できたこと」。</t>
  </si>
  <si>
    <r>
      <rPr>
        <sz val="10"/>
        <color rgb="FF000000"/>
        <rFont val="WenQuanYi Zen Hei"/>
        <family val="2"/>
      </rPr>
      <t xml:space="preserve">今日できたこと、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つだけ</t>
    </r>
  </si>
  <si>
    <t xml:space="preserve">嫉妬した人の名前を書いて、その横に「欲しいもの」を書いたら地図になった。</t>
  </si>
  <si>
    <t xml:space="preserve">嫉妬ノートは、望みの地図になる。</t>
  </si>
  <si>
    <t xml:space="preserve">最近、誰に嫉妬した？（イニシャルで）</t>
  </si>
  <si>
    <t xml:space="preserve">母への手紙を書いて、出さずに燃やした。人生で一番泣いた夜だった。</t>
  </si>
  <si>
    <t xml:space="preserve">「出さない手紙」は、出す手紙より効く。</t>
  </si>
  <si>
    <t xml:space="preserve">出さない手紙、誰に書く？</t>
  </si>
  <si>
    <r>
      <rPr>
        <sz val="10"/>
        <color rgb="FF000000"/>
        <rFont val="WenQuanYi Zen Hei"/>
        <family val="2"/>
      </rPr>
      <t xml:space="preserve">手帳の予定を書く前に、「今日の気分」を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語だけ書くようにした。</t>
    </r>
  </si>
  <si>
    <t xml:space="preserve">予定より先に、気分を書く。</t>
  </si>
  <si>
    <r>
      <rPr>
        <sz val="10"/>
        <color rgb="FF000000"/>
        <rFont val="WenQuanYi Zen Hei"/>
        <family val="2"/>
      </rPr>
      <t xml:space="preserve">今日の気分を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語で</t>
    </r>
  </si>
  <si>
    <t xml:space="preserve">ノートが続かない人は、毎日書こうとするから。</t>
  </si>
  <si>
    <t xml:space="preserve">ノートは「しんどい日だけ」でいい。</t>
  </si>
  <si>
    <t xml:space="preserve">ノート、何日続いたことある？</t>
  </si>
  <si>
    <r>
      <rPr>
        <sz val="10"/>
        <color rgb="FF000000"/>
        <rFont val="WenQuanYi Zen Hei"/>
        <family val="2"/>
      </rPr>
      <t xml:space="preserve">「あの人のせい」と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WenQuanYi Zen Hei"/>
        <family val="2"/>
      </rPr>
      <t xml:space="preserve">回書いたら、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WenQuanYi Zen Hei"/>
        <family val="2"/>
      </rPr>
      <t xml:space="preserve">回目に「でも私も」が出てきた。</t>
    </r>
  </si>
  <si>
    <t xml:space="preserve">人のせいにしきった先に、自分の本音がある。</t>
  </si>
  <si>
    <t xml:space="preserve">今、誰のせいにしたい？</t>
  </si>
  <si>
    <t xml:space="preserve">スマホのメモじゃダメだった。手で書いたら、涙が出た。</t>
  </si>
  <si>
    <t xml:space="preserve">本音はスマホより手書きで出る。</t>
  </si>
  <si>
    <t xml:space="preserve">メモ派？手書き派？</t>
  </si>
  <si>
    <t xml:space="preserve">ノートの見開き左に「現実」、右に「妄想」。真ん中の線が私の居場所だった。</t>
  </si>
  <si>
    <t xml:space="preserve">現実と妄想を分けて書くと、どっちにも浸れる。</t>
  </si>
  <si>
    <r>
      <rPr>
        <sz val="10"/>
        <color rgb="FF000000"/>
        <rFont val="WenQuanYi Zen Hei"/>
        <family val="2"/>
      </rPr>
      <t xml:space="preserve">今の現実と妄想、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行ずつ</t>
    </r>
  </si>
  <si>
    <t xml:space="preserve">書いても書いても同じ悩みが出てくる。それが一番大事なテーマだった。</t>
  </si>
  <si>
    <t xml:space="preserve">何度も出てくる悩みは、消すんじゃなく育てる。</t>
  </si>
  <si>
    <t xml:space="preserve">何度も出てくる悩み、ある？</t>
  </si>
  <si>
    <r>
      <rPr>
        <sz val="10"/>
        <color rgb="FF000000"/>
        <rFont val="WenQuanYi Zen Hei"/>
        <family val="2"/>
      </rPr>
      <t xml:space="preserve">落ち込んだ日のノートに、「好きな食べ物」を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個書いたら回復した。</t>
    </r>
  </si>
  <si>
    <t xml:space="preserve">落ち込んだ日は、深掘りより好きなもの。</t>
  </si>
  <si>
    <r>
      <rPr>
        <sz val="10"/>
        <color rgb="FF000000"/>
        <rFont val="WenQuanYi Zen Hei"/>
        <family val="2"/>
      </rPr>
      <t xml:space="preserve">好きな食べ物、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つ教えて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</si>
  <si>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年前のノートを読み返したら、今と同じことで悩んでいて笑った。</t>
    </r>
  </si>
  <si>
    <r>
      <rPr>
        <sz val="10"/>
        <color rgb="FF000000"/>
        <rFont val="WenQuanYi Zen Hei"/>
        <family val="2"/>
      </rPr>
      <t xml:space="preserve">変わってないと思うなら、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年前を読み返して。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</si>
  <si>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年前の自分に一言</t>
    </r>
  </si>
  <si>
    <r>
      <rPr>
        <sz val="10"/>
        <color rgb="FF000000"/>
        <rFont val="WenQuanYi Zen Hei"/>
        <family val="2"/>
      </rPr>
      <t xml:space="preserve">褒め言葉が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つも書けなかった私が、最初に書けたのは「今日も起きた」だった。</t>
    </r>
  </si>
  <si>
    <t xml:space="preserve">自分を褒められない人は、事実から褒める。</t>
  </si>
  <si>
    <t xml:space="preserve">今日の自分を褒めるとしたら？</t>
  </si>
  <si>
    <t xml:space="preserve">毒出しノートの最後に「で、今日は何食べたい？」と書くのが私のルール。</t>
  </si>
  <si>
    <t xml:space="preserve">ネガティブの後は、小さな欲で締める。</t>
  </si>
  <si>
    <t xml:space="preserve">今日、何食べたい？</t>
  </si>
  <si>
    <t xml:space="preserve">ノートで一番多く書いていた言葉を数えたら、「ちゃんと」だった。</t>
  </si>
  <si>
    <t xml:space="preserve">「ちゃんと」が口ぐせの人は、ずっと誰かの採点を受けている。</t>
  </si>
  <si>
    <t xml:space="preserve">あなたのノートに多い言葉は？</t>
  </si>
  <si>
    <t xml:space="preserve">恋愛依存・他人軸</t>
  </si>
  <si>
    <t xml:space="preserve">好きな人のストーリーを、足あとがつかない方法で見ていた。</t>
  </si>
  <si>
    <r>
      <rPr>
        <sz val="10"/>
        <color rgb="FF000000"/>
        <rFont val="WenQuanYi Zen Hei"/>
        <family val="2"/>
      </rPr>
      <t xml:space="preserve">相手の</t>
    </r>
    <r>
      <rPr>
        <sz val="10"/>
        <color rgb="FF000000"/>
        <rFont val="Arial"/>
        <family val="0"/>
        <charset val="1"/>
      </rPr>
      <t xml:space="preserve">SNS</t>
    </r>
    <r>
      <rPr>
        <sz val="10"/>
        <color rgb="FF000000"/>
        <rFont val="WenQuanYi Zen Hei"/>
        <family val="2"/>
      </rPr>
      <t xml:space="preserve">を見るほど、自分の価値が下がっていく。</t>
    </r>
  </si>
  <si>
    <t xml:space="preserve">つい見ちゃうアカウント、ある？</t>
  </si>
  <si>
    <t xml:space="preserve">「戻るよ」と言ってくれる人に会いに行くために、私はお金を払っていた。</t>
  </si>
  <si>
    <t xml:space="preserve">「戻る」と言われたいのは、彼じゃなく安心が欲しいから。</t>
  </si>
  <si>
    <t xml:space="preserve">言ってほしかった一言は？</t>
  </si>
  <si>
    <t xml:space="preserve">彼の返信の「。」があるかないかで、一晩眠れなかった。</t>
  </si>
  <si>
    <t xml:space="preserve">句読点で病むのは、相手の気持ちじゃなく自分の不安を読んでいる。</t>
  </si>
  <si>
    <r>
      <rPr>
        <sz val="10"/>
        <color rgb="FF000000"/>
        <rFont val="Arial"/>
        <family val="0"/>
        <charset val="1"/>
      </rPr>
      <t xml:space="preserve">LINE</t>
    </r>
    <r>
      <rPr>
        <sz val="10"/>
        <color rgb="FF000000"/>
        <rFont val="WenQuanYi Zen Hei"/>
        <family val="2"/>
      </rPr>
      <t xml:space="preserve">で気にしちゃうポイントは？</t>
    </r>
  </si>
  <si>
    <t xml:space="preserve">別れた後、私が泣いていたのは彼じゃなく「選ばれなかった私」のためだった。</t>
  </si>
  <si>
    <t xml:space="preserve">失恋の痛みの正体は、相手じゃなく自己否定。</t>
  </si>
  <si>
    <t xml:space="preserve">失恋で一番痛かったのは何？</t>
  </si>
  <si>
    <t xml:space="preserve">デート前日、着ていく服より「何を話せば嫌われないか」を考えていた。</t>
  </si>
  <si>
    <t xml:space="preserve">好かれる準備より、嫌われない準備をしている人へ。</t>
  </si>
  <si>
    <t xml:space="preserve">デート前、何に一番時間かける？</t>
  </si>
  <si>
    <t xml:space="preserve">「重い」と言われてから、好きと言えなくなった。</t>
  </si>
  <si>
    <t xml:space="preserve">重い女は、愛が多いんじゃなく不安が多いだけ。</t>
  </si>
  <si>
    <t xml:space="preserve">言われて引きずってる言葉は？</t>
  </si>
  <si>
    <r>
      <rPr>
        <sz val="10"/>
        <color rgb="FF000000"/>
        <rFont val="WenQuanYi Zen Hei"/>
        <family val="2"/>
      </rPr>
      <t xml:space="preserve">恋人がいるのに、元彼の</t>
    </r>
    <r>
      <rPr>
        <sz val="10"/>
        <color rgb="FF000000"/>
        <rFont val="Arial"/>
        <family val="0"/>
        <charset val="1"/>
      </rPr>
      <t xml:space="preserve">SNS</t>
    </r>
    <r>
      <rPr>
        <sz val="10"/>
        <color rgb="FF000000"/>
        <rFont val="WenQuanYi Zen Hei"/>
        <family val="2"/>
      </rPr>
      <t xml:space="preserve">を毎日見ていた。</t>
    </r>
  </si>
  <si>
    <t xml:space="preserve">元恋人を見ちゃうのは、未練じゃないこともある。</t>
  </si>
  <si>
    <r>
      <rPr>
        <sz val="10"/>
        <color rgb="FF000000"/>
        <rFont val="WenQuanYi Zen Hei"/>
        <family val="2"/>
      </rPr>
      <t xml:space="preserve">元恋人の</t>
    </r>
    <r>
      <rPr>
        <sz val="10"/>
        <color rgb="FF000000"/>
        <rFont val="Arial"/>
        <family val="0"/>
        <charset val="1"/>
      </rPr>
      <t xml:space="preserve">SNS</t>
    </r>
    <r>
      <rPr>
        <sz val="10"/>
        <color rgb="FF000000"/>
        <rFont val="WenQuanYi Zen Hei"/>
        <family val="2"/>
      </rPr>
      <t xml:space="preserve">、見る派？</t>
    </r>
  </si>
  <si>
    <t xml:space="preserve">彼に合わせて好きな音楽を変えた。別れた後、自分の好きな曲が分からなかった。</t>
  </si>
  <si>
    <t xml:space="preserve">相手に合わせるほど、恋は終わりやすい。</t>
  </si>
  <si>
    <t xml:space="preserve">誰かに合わせて変えたもの、ある？</t>
  </si>
  <si>
    <t xml:space="preserve">既読がついた瞬間から返信が来るまでの時間を、計っていた。</t>
  </si>
  <si>
    <t xml:space="preserve">返信速度＝愛情ではない。</t>
  </si>
  <si>
    <t xml:space="preserve">何分待てる？</t>
  </si>
  <si>
    <t xml:space="preserve">妄想の中では幸せなのに、目を開けると既読スルーの画面が出てくる。</t>
  </si>
  <si>
    <t xml:space="preserve">恋愛の妄想は、彼じゃなく自分の表情から描く。</t>
  </si>
  <si>
    <t xml:space="preserve">妄想で一番幸せな場面は？</t>
  </si>
  <si>
    <t xml:space="preserve">夫に「手伝って」と言えず、ため息で気づいてもらおうとしていた。</t>
  </si>
  <si>
    <t xml:space="preserve">察してほしいは、頼めない人の最終手段。</t>
  </si>
  <si>
    <t xml:space="preserve">察してほしかったこと、何？</t>
  </si>
  <si>
    <t xml:space="preserve">夫のことは嫌いじゃない。でも一人の時間の方が圧倒的に幸せ。</t>
  </si>
  <si>
    <t xml:space="preserve">家族と離れたいと思う自分を、責めなくていい。</t>
  </si>
  <si>
    <t xml:space="preserve">一人の時間、どれくらいほしい？</t>
  </si>
  <si>
    <r>
      <rPr>
        <sz val="10"/>
        <color rgb="FF000000"/>
        <rFont val="WenQuanYi Zen Hei"/>
        <family val="2"/>
      </rPr>
      <t xml:space="preserve">義母からの</t>
    </r>
    <r>
      <rPr>
        <sz val="10"/>
        <color rgb="FF000000"/>
        <rFont val="Arial"/>
        <family val="0"/>
        <charset val="1"/>
      </rPr>
      <t xml:space="preserve">LINE</t>
    </r>
    <r>
      <rPr>
        <sz val="10"/>
        <color rgb="FF000000"/>
        <rFont val="WenQuanYi Zen Hei"/>
        <family val="2"/>
      </rPr>
      <t xml:space="preserve">に「了解です！」の「！」を付けるか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分悩んだ。</t>
    </r>
  </si>
  <si>
    <r>
      <rPr>
        <sz val="10"/>
        <color rgb="FF000000"/>
        <rFont val="WenQuanYi Zen Hei"/>
        <family val="2"/>
      </rPr>
      <t xml:space="preserve">気を遣いすぎる人は、絵文字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つにも裁判を開く。</t>
    </r>
  </si>
  <si>
    <r>
      <rPr>
        <sz val="10"/>
        <color rgb="FF000000"/>
        <rFont val="WenQuanYi Zen Hei"/>
        <family val="2"/>
      </rPr>
      <t xml:space="preserve">義実家</t>
    </r>
    <r>
      <rPr>
        <sz val="10"/>
        <color rgb="FF000000"/>
        <rFont val="Arial"/>
        <family val="0"/>
        <charset val="1"/>
      </rPr>
      <t xml:space="preserve">LINE</t>
    </r>
    <r>
      <rPr>
        <sz val="10"/>
        <color rgb="FF000000"/>
        <rFont val="WenQuanYi Zen Hei"/>
        <family val="2"/>
      </rPr>
      <t xml:space="preserve">、どう返してる？</t>
    </r>
  </si>
  <si>
    <t xml:space="preserve">人の顔色を読むのは、子どもの頃の家が「機嫌の天気予報」が必要な家だったから。</t>
  </si>
  <si>
    <t xml:space="preserve">顔色を読むクセは、性格じゃなく生存戦略。</t>
  </si>
  <si>
    <t xml:space="preserve">子どもの頃の家の空気、どんなだった？</t>
  </si>
  <si>
    <t xml:space="preserve">頼まれてもないのに、職場の空気を良くしようと必死だった。</t>
  </si>
  <si>
    <t xml:space="preserve">空気を読む人が、一番空気に疲れている。</t>
  </si>
  <si>
    <t xml:space="preserve">職場で勝手に背負ってる役割は？</t>
  </si>
  <si>
    <t xml:space="preserve">友達とつるんでいないと、価値がないと思っていた。</t>
  </si>
  <si>
    <t xml:space="preserve">友達が少ない人ほど、自分と仲良くなれる。</t>
  </si>
  <si>
    <t xml:space="preserve">友達、多い方がいいと思う？</t>
  </si>
  <si>
    <t xml:space="preserve">「みんな行くよ」と言われると、行きたくなくても行っていた。</t>
  </si>
  <si>
    <r>
      <rPr>
        <sz val="10"/>
        <color rgb="FF000000"/>
        <rFont val="WenQuanYi Zen Hei"/>
        <family val="2"/>
      </rPr>
      <t xml:space="preserve">「みんな」は、多くても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人。</t>
    </r>
  </si>
  <si>
    <t xml:space="preserve">「みんな」に流されたこと、ある？</t>
  </si>
  <si>
    <r>
      <rPr>
        <sz val="10"/>
        <color rgb="FF000000"/>
        <rFont val="WenQuanYi Zen Hei"/>
        <family val="2"/>
      </rPr>
      <t xml:space="preserve">占い師に「あなたの人生、このままだと孤独」と言われて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日寝込んだ。</t>
    </r>
  </si>
  <si>
    <t xml:space="preserve">占いの言葉で寝込むのは、自分の答えを持っていないから。</t>
  </si>
  <si>
    <t xml:space="preserve">占いで言われて残ってる言葉は？</t>
  </si>
  <si>
    <t xml:space="preserve">誕生日を祝ってもらえないのが怖くて、自分から言えなかった。</t>
  </si>
  <si>
    <t xml:space="preserve">欲しいものを言わない人は、もらえない理由を作っている。</t>
  </si>
  <si>
    <t xml:space="preserve">本当はしてほしいこと、ある？</t>
  </si>
  <si>
    <t xml:space="preserve">好きな人に「好き」と言うより、嫌いな人に「嫌い」と言う方がずっと難しかった。</t>
  </si>
  <si>
    <t xml:space="preserve">本音は「好き」より「嫌」から練習する。</t>
  </si>
  <si>
    <t xml:space="preserve">言えなかった「嫌」は？</t>
  </si>
  <si>
    <t xml:space="preserve">身体・お金・人生の代償</t>
  </si>
  <si>
    <t xml:space="preserve">胸のザワザワを「気のせい」にし続けた結果、身体が強制終了した。</t>
  </si>
  <si>
    <t xml:space="preserve">身体の違和感は、心の本音より先に正直。</t>
  </si>
  <si>
    <t xml:space="preserve">最近、身体からのサインある？（※異変は医療機関へ）</t>
  </si>
  <si>
    <t xml:space="preserve">肩こりがひどい日は、誰かの機嫌をとった日だった。</t>
  </si>
  <si>
    <t xml:space="preserve">肩こりは、背負いすぎのサインかもしれない。</t>
  </si>
  <si>
    <t xml:space="preserve">肩こりがひどい日、何があった？</t>
  </si>
  <si>
    <r>
      <rPr>
        <sz val="10"/>
        <color rgb="FF000000"/>
        <rFont val="Arial"/>
        <family val="0"/>
        <charset val="1"/>
      </rPr>
      <t xml:space="preserve">700</t>
    </r>
    <r>
      <rPr>
        <sz val="10"/>
        <color rgb="FF000000"/>
        <rFont val="WenQuanYi Zen Hei"/>
        <family val="2"/>
      </rPr>
      <t xml:space="preserve">万円失った夜、悔しさより先に「やっぱりね」と思った。</t>
    </r>
  </si>
  <si>
    <t xml:space="preserve">「やっぱりね」と思う人は、失う未来を先に信じている。</t>
  </si>
  <si>
    <t xml:space="preserve">「やっぱりね」と思ったこと、ある？</t>
  </si>
  <si>
    <t xml:space="preserve">お金がない月ほど、コンビニで無駄遣いしていた。</t>
  </si>
  <si>
    <t xml:space="preserve">節約できないのは、意志が弱いからじゃない。</t>
  </si>
  <si>
    <t xml:space="preserve">ストレスで買っちゃうもの、何？</t>
  </si>
  <si>
    <t xml:space="preserve">半年ほとんど家から出なかった。それが、人生で一番心が静かな半年だった。</t>
  </si>
  <si>
    <t xml:space="preserve">引きこもりは、壊れた人生じゃなく修理期間。</t>
  </si>
  <si>
    <t xml:space="preserve">休んでた時期、ある？</t>
  </si>
  <si>
    <t xml:space="preserve">普通にご飯がおいしい。それだけで泣いた日がある。</t>
  </si>
  <si>
    <t xml:space="preserve">回復は、劇的な変化より「普通」に戻ること。</t>
  </si>
  <si>
    <t xml:space="preserve">最近、普通に幸せだったことは？</t>
  </si>
  <si>
    <t xml:space="preserve">毎日泣いていた私が、今は過去を笑って話せる。その間にしたのは「書く」だけ。</t>
  </si>
  <si>
    <t xml:space="preserve">過去を変える必要はない。書けば、意味が変わる。</t>
  </si>
  <si>
    <t xml:space="preserve">S4</t>
  </si>
  <si>
    <t xml:space="preserve">いつか笑って話したい過去、ある？</t>
  </si>
  <si>
    <t xml:space="preserve">給料日前の残高を見るのが怖くて、アプリを開けなかった。</t>
  </si>
  <si>
    <t xml:space="preserve">お金の不安は、見ないほど大きくなる。</t>
  </si>
  <si>
    <t xml:space="preserve">残高、毎日見る派？見ない派？</t>
  </si>
  <si>
    <t xml:space="preserve">「私が稼がないと」と思って働き続けた。倒れて初めて、誰も困らないと知った。</t>
  </si>
  <si>
    <t xml:space="preserve">あなたがいないと回らない、は思い込み。</t>
  </si>
  <si>
    <t xml:space="preserve">「私がいないと」と思っていること、ある？</t>
  </si>
  <si>
    <t xml:space="preserve">頭痛薬を飲んで「大丈夫」と言うのが、私の日常だった。</t>
  </si>
  <si>
    <t xml:space="preserve">薬で黙らせているのは、痛みじゃなく本音かもしれない。</t>
  </si>
  <si>
    <t xml:space="preserve">「とりあえず我慢」してること、ある？</t>
  </si>
  <si>
    <t xml:space="preserve">人生のどん底で、一番欲しかったのはお金じゃなく「大丈夫だよ」の一言だった。</t>
  </si>
  <si>
    <t xml:space="preserve">どん底で必要なのは、正論じゃない。</t>
  </si>
  <si>
    <t xml:space="preserve">どん底の時に欲しかった一言は？</t>
  </si>
  <si>
    <r>
      <rPr>
        <sz val="10"/>
        <color rgb="FF000000"/>
        <rFont val="WenQuanYi Zen Hei"/>
        <family val="2"/>
      </rPr>
      <t xml:space="preserve">「自分にお金を使う」が怖くて、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WenQuanYi Zen Hei"/>
        <family val="2"/>
      </rPr>
      <t xml:space="preserve">円のケーキを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回棚に戻した。</t>
    </r>
  </si>
  <si>
    <t xml:space="preserve">自分にお金を使えない人は、自分の価値を値踏みしている。</t>
  </si>
  <si>
    <t xml:space="preserve">自分のために最近買ったものは？</t>
  </si>
  <si>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代で全部失って、初めて「自分のために生きる」が分かった。</t>
    </r>
  </si>
  <si>
    <t xml:space="preserve">人生のやり直しに、年齢は関係ない。</t>
  </si>
  <si>
    <t xml:space="preserve">今からやり直したいこと、ある？</t>
  </si>
  <si>
    <r>
      <rPr>
        <sz val="10"/>
        <color rgb="FF000000"/>
        <rFont val="WenQuanYi Zen Hei"/>
        <family val="2"/>
      </rPr>
      <t xml:space="preserve">朝起きた瞬間に「今日も無理」と思う日が、週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日あった。</t>
    </r>
  </si>
  <si>
    <t xml:space="preserve">朝がしんどいのは、夜の頭の中が片づいていないから。</t>
  </si>
  <si>
    <t xml:space="preserve">朝起きて最初に思うこと、何？</t>
  </si>
  <si>
    <t xml:space="preserve">「もう無理」と言えた日が、私の人生の再スタートだった。</t>
  </si>
  <si>
    <t xml:space="preserve">「無理」と言えるのは、弱さじゃなく回復の始まり。</t>
  </si>
  <si>
    <t xml:space="preserve">最近言えた「無理」、ある？</t>
  </si>
  <si>
    <t xml:space="preserve">通帳の「ある」を数えたら、ないと思っていたものが結構あった。</t>
  </si>
  <si>
    <t xml:space="preserve">お金の引き寄せは、増やすより「ある」を数えてから。</t>
  </si>
  <si>
    <t xml:space="preserve">今あるお金で、感謝できることは？</t>
  </si>
  <si>
    <t xml:space="preserve">人の人生を生きてきたツケは、ある日まとめて身体に請求が来た。</t>
  </si>
  <si>
    <t xml:space="preserve">他人軸のツケは、心より先に身体が払う。</t>
  </si>
  <si>
    <t xml:space="preserve">身体で払った「無理」は？</t>
  </si>
  <si>
    <t xml:space="preserve">休日に何もしないと、夕方に罪悪感で胸が苦しくなる。</t>
  </si>
  <si>
    <t xml:space="preserve">休むことに罪悪感がある人は、ずっと誰かに評価されている。</t>
  </si>
  <si>
    <t xml:space="preserve">休日、何もしない日ある？</t>
  </si>
  <si>
    <t xml:space="preserve">全部失ってから気づいた。失いたくなかったのは、お金じゃなく「ちゃんとした私」だった。</t>
  </si>
  <si>
    <t xml:space="preserve">守りたかったのは、資産じゃなく体裁だった。</t>
  </si>
  <si>
    <t xml:space="preserve">手放せない「ちゃんとした私」、ある？</t>
  </si>
  <si>
    <t xml:space="preserve">出雲大社の帰り道、「私、今幸せだ」と声に出していた。</t>
  </si>
  <si>
    <t xml:space="preserve">幸せは、引き寄せるより先に気づくもの。</t>
  </si>
  <si>
    <t xml:space="preserve">最近「幸せ」と思った瞬間は？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</si>
</sst>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/dd\(AAA\)"/>
    <numFmt numFmtId="166" formatCode="0%"/>
    <numFmt numFmtId="167" formatCode="#,##0"/>
    <numFmt numFmtId="168" formatCode="0.0%"/>
    <numFmt numFmtId="169" formatCode="0.00%"/>
    <numFmt numFmtId="170" formatCode="m/d\(AAA\)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B3A6B"/>
      <name val="Arial"/>
      <family val="0"/>
      <charset val="1"/>
    </font>
    <font>
      <b val="true"/>
      <sz val="14"/>
      <color rgb="FF5B3A6B"/>
      <name val="WenQuanYi Zen Hei"/>
      <family val="2"/>
    </font>
    <font>
      <sz val="9"/>
      <color rgb="FF666666"/>
      <name val="WenQuanYi Zen Hei"/>
      <family val="2"/>
    </font>
    <font>
      <sz val="9"/>
      <color rgb="FF666666"/>
      <name val="Arial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FF"/>
      <name val="Arial"/>
      <family val="0"/>
      <charset val="1"/>
    </font>
    <font>
      <b val="true"/>
      <sz val="12"/>
      <color rgb="FF5B3A6B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2"/>
      <color rgb="FF5B3A6B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CC"/>
        <bgColor rgb="FFFFFFFF"/>
      </patternFill>
    </fill>
    <fill>
      <patternFill patternType="solid">
        <fgColor rgb="FF5B3A6B"/>
        <bgColor rgb="FF333333"/>
      </patternFill>
    </fill>
    <fill>
      <patternFill patternType="solid">
        <fgColor rgb="FFFDE2E4"/>
        <bgColor rgb="FFFFF7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DE2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B3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8" min="3" style="0" width="16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46308</v>
      </c>
      <c r="C4" s="2" t="s">
        <v>3</v>
      </c>
    </row>
    <row r="6" customFormat="false" ht="15" hidden="false" customHeight="false" outlineLevel="0" collapsed="false">
      <c r="A6" s="5" t="s">
        <v>4</v>
      </c>
    </row>
    <row r="7" customFormat="false" ht="36" hidden="false" customHeight="true" outlineLevel="0" collapsed="false">
      <c r="A7" s="3" t="s">
        <v>5</v>
      </c>
      <c r="B7" s="6" t="s">
        <v>6</v>
      </c>
      <c r="C7" s="6"/>
      <c r="D7" s="6"/>
      <c r="E7" s="6"/>
      <c r="F7" s="6"/>
    </row>
    <row r="8" customFormat="false" ht="36" hidden="false" customHeight="true" outlineLevel="0" collapsed="false">
      <c r="A8" s="3" t="s">
        <v>7</v>
      </c>
      <c r="B8" s="6" t="s">
        <v>8</v>
      </c>
      <c r="C8" s="6"/>
      <c r="D8" s="6"/>
      <c r="E8" s="6"/>
      <c r="F8" s="6"/>
    </row>
    <row r="9" customFormat="false" ht="36" hidden="false" customHeight="true" outlineLevel="0" collapsed="false">
      <c r="A9" s="3" t="s">
        <v>9</v>
      </c>
      <c r="B9" s="6" t="s">
        <v>10</v>
      </c>
      <c r="C9" s="6"/>
      <c r="D9" s="6"/>
      <c r="E9" s="6"/>
      <c r="F9" s="6"/>
    </row>
    <row r="10" customFormat="false" ht="36" hidden="false" customHeight="true" outlineLevel="0" collapsed="false">
      <c r="A10" s="3" t="s">
        <v>11</v>
      </c>
      <c r="B10" s="6" t="s">
        <v>12</v>
      </c>
      <c r="C10" s="6"/>
      <c r="D10" s="6"/>
      <c r="E10" s="6"/>
      <c r="F10" s="6"/>
    </row>
    <row r="11" customFormat="false" ht="36" hidden="false" customHeight="true" outlineLevel="0" collapsed="false">
      <c r="A11" s="3" t="s">
        <v>13</v>
      </c>
      <c r="B11" s="6" t="s">
        <v>14</v>
      </c>
      <c r="C11" s="6"/>
      <c r="D11" s="6"/>
      <c r="E11" s="6"/>
      <c r="F11" s="6"/>
    </row>
    <row r="12" customFormat="false" ht="36" hidden="false" customHeight="true" outlineLevel="0" collapsed="false">
      <c r="A12" s="3" t="s">
        <v>15</v>
      </c>
      <c r="B12" s="7" t="s">
        <v>16</v>
      </c>
      <c r="C12" s="7"/>
      <c r="D12" s="7"/>
      <c r="E12" s="7"/>
      <c r="F12" s="7"/>
    </row>
    <row r="13" customFormat="false" ht="36" hidden="false" customHeight="true" outlineLevel="0" collapsed="false">
      <c r="A13" s="3" t="s">
        <v>17</v>
      </c>
      <c r="B13" s="7" t="s">
        <v>18</v>
      </c>
      <c r="C13" s="7"/>
      <c r="D13" s="7"/>
      <c r="E13" s="7"/>
      <c r="F13" s="7"/>
    </row>
    <row r="15" customFormat="false" ht="16.4" hidden="false" customHeight="false" outlineLevel="0" collapsed="false">
      <c r="A15" s="5" t="s">
        <v>19</v>
      </c>
    </row>
    <row r="16" customFormat="false" ht="15" hidden="false" customHeight="false" outlineLevel="0" collapsed="false">
      <c r="A16" s="8" t="s">
        <v>20</v>
      </c>
      <c r="B16" s="8" t="s">
        <v>21</v>
      </c>
      <c r="C16" s="8" t="s">
        <v>22</v>
      </c>
      <c r="D16" s="8" t="s">
        <v>23</v>
      </c>
    </row>
    <row r="17" customFormat="false" ht="15" hidden="false" customHeight="false" outlineLevel="0" collapsed="false">
      <c r="A17" s="9" t="s">
        <v>24</v>
      </c>
      <c r="B17" s="9" t="n">
        <f aca="false">COUNTIF(30日スケジュール!$D$5:$D$34,A17)</f>
        <v>11</v>
      </c>
      <c r="C17" s="10" t="n">
        <f aca="false">IFERROR(B17/$B$22,0)</f>
        <v>0.366666666666667</v>
      </c>
      <c r="D17" s="10" t="n">
        <v>0.4</v>
      </c>
    </row>
    <row r="18" customFormat="false" ht="15" hidden="false" customHeight="false" outlineLevel="0" collapsed="false">
      <c r="A18" s="9" t="s">
        <v>25</v>
      </c>
      <c r="B18" s="9" t="n">
        <f aca="false">COUNTIF(30日スケジュール!$D$5:$D$34,A18)</f>
        <v>7</v>
      </c>
      <c r="C18" s="10" t="n">
        <f aca="false">IFERROR(B18/$B$22,0)</f>
        <v>0.233333333333333</v>
      </c>
      <c r="D18" s="10" t="n">
        <v>0.3</v>
      </c>
    </row>
    <row r="19" customFormat="false" ht="15" hidden="false" customHeight="false" outlineLevel="0" collapsed="false">
      <c r="A19" s="9" t="s">
        <v>26</v>
      </c>
      <c r="B19" s="9" t="n">
        <f aca="false">COUNTIF(30日スケジュール!$D$5:$D$34,A19)</f>
        <v>6</v>
      </c>
      <c r="C19" s="10" t="n">
        <f aca="false">IFERROR(B19/$B$22,0)</f>
        <v>0.2</v>
      </c>
      <c r="D19" s="10" t="n">
        <v>0.2</v>
      </c>
    </row>
    <row r="20" customFormat="false" ht="15" hidden="false" customHeight="false" outlineLevel="0" collapsed="false">
      <c r="A20" s="9" t="s">
        <v>27</v>
      </c>
      <c r="B20" s="9" t="n">
        <f aca="false">COUNTIF(30日スケジュール!$D$5:$D$34,A20)</f>
        <v>3</v>
      </c>
      <c r="C20" s="10" t="n">
        <f aca="false">IFERROR(B20/$B$22,0)</f>
        <v>0.1</v>
      </c>
      <c r="D20" s="10" t="n">
        <v>0.1</v>
      </c>
    </row>
    <row r="21" customFormat="false" ht="15" hidden="false" customHeight="false" outlineLevel="0" collapsed="false">
      <c r="A21" s="9" t="s">
        <v>28</v>
      </c>
      <c r="B21" s="9" t="n">
        <f aca="false">COUNTIF(30日スケジュール!$D$5:$D$34,A21)</f>
        <v>3</v>
      </c>
      <c r="C21" s="10" t="n">
        <f aca="false">IFERROR(B21/$B$22,0)</f>
        <v>0.1</v>
      </c>
      <c r="D21" s="11" t="s">
        <v>29</v>
      </c>
    </row>
    <row r="22" customFormat="false" ht="15" hidden="false" customHeight="false" outlineLevel="0" collapsed="false">
      <c r="A22" s="3" t="s">
        <v>30</v>
      </c>
      <c r="B22" s="3" t="n">
        <f aca="false">SUM(B17:B21)</f>
        <v>30</v>
      </c>
    </row>
    <row r="24" customFormat="false" ht="16.4" hidden="false" customHeight="false" outlineLevel="0" collapsed="false">
      <c r="A24" s="5" t="s">
        <v>31</v>
      </c>
    </row>
    <row r="25" customFormat="false" ht="15" hidden="false" customHeight="false" outlineLevel="0" collapsed="false">
      <c r="A25" s="8" t="s">
        <v>32</v>
      </c>
      <c r="B25" s="8" t="s">
        <v>33</v>
      </c>
      <c r="C25" s="8" t="s">
        <v>34</v>
      </c>
      <c r="D25" s="8" t="s">
        <v>35</v>
      </c>
      <c r="E25" s="8" t="s">
        <v>36</v>
      </c>
      <c r="F25" s="8" t="s">
        <v>37</v>
      </c>
      <c r="G25" s="8" t="s">
        <v>38</v>
      </c>
      <c r="H25" s="8" t="s">
        <v>39</v>
      </c>
    </row>
    <row r="26" customFormat="false" ht="15" hidden="false" customHeight="false" outlineLevel="0" collapsed="false">
      <c r="A26" s="11" t="s">
        <v>40</v>
      </c>
      <c r="B26" s="12" t="n">
        <f aca="false">SUM(30日スケジュール!Q5:Q18)</f>
        <v>0</v>
      </c>
      <c r="C26" s="12" t="n">
        <f aca="false">SUM(30日スケジュール!R5:R18)</f>
        <v>0</v>
      </c>
      <c r="D26" s="12" t="n">
        <f aca="false">SUM(30日スケジュール!S5:S18)</f>
        <v>0</v>
      </c>
      <c r="E26" s="12" t="n">
        <f aca="false">SUM(30日スケジュール!U5:U18)</f>
        <v>0</v>
      </c>
      <c r="F26" s="12" t="n">
        <f aca="false">SUM(30日スケジュール!V5:V18)</f>
        <v>0</v>
      </c>
      <c r="G26" s="13" t="n">
        <f aca="false">IFERROR((C26+D26+SUM(30日スケジュール!T5:T18))/B26,0)</f>
        <v>0</v>
      </c>
      <c r="H26" s="14" t="n">
        <f aca="false">IFERROR(E26/B26,0)</f>
        <v>0</v>
      </c>
    </row>
    <row r="27" customFormat="false" ht="15" hidden="false" customHeight="false" outlineLevel="0" collapsed="false">
      <c r="A27" s="11" t="s">
        <v>41</v>
      </c>
      <c r="B27" s="12" t="n">
        <f aca="false">SUM(30日スケジュール!Q19:Q34)</f>
        <v>0</v>
      </c>
      <c r="C27" s="12" t="n">
        <f aca="false">SUM(30日スケジュール!R19:R34)</f>
        <v>0</v>
      </c>
      <c r="D27" s="12" t="n">
        <f aca="false">SUM(30日スケジュール!S19:S34)</f>
        <v>0</v>
      </c>
      <c r="E27" s="12" t="n">
        <f aca="false">SUM(30日スケジュール!U19:U34)</f>
        <v>0</v>
      </c>
      <c r="F27" s="12" t="n">
        <f aca="false">SUM(30日スケジュール!V19:V34)</f>
        <v>0</v>
      </c>
      <c r="G27" s="13" t="n">
        <f aca="false">IFERROR((C27+D27+SUM(30日スケジュール!T19:T34))/B27,0)</f>
        <v>0</v>
      </c>
      <c r="H27" s="14" t="n">
        <f aca="false">IFERROR(E27/B27,0)</f>
        <v>0</v>
      </c>
    </row>
    <row r="28" customFormat="false" ht="15" hidden="false" customHeight="false" outlineLevel="0" collapsed="false">
      <c r="A28" s="11" t="s">
        <v>42</v>
      </c>
      <c r="B28" s="12" t="n">
        <f aca="false">SUM(30日スケジュール!Q5:Q34)</f>
        <v>0</v>
      </c>
      <c r="C28" s="12" t="n">
        <f aca="false">SUM(30日スケジュール!R5:R34)</f>
        <v>0</v>
      </c>
      <c r="D28" s="12" t="n">
        <f aca="false">SUM(30日スケジュール!S5:S34)</f>
        <v>0</v>
      </c>
      <c r="E28" s="12" t="n">
        <f aca="false">SUM(30日スケジュール!U5:U34)</f>
        <v>0</v>
      </c>
      <c r="F28" s="12" t="n">
        <f aca="false">SUM(30日スケジュール!V5:V34)</f>
        <v>0</v>
      </c>
      <c r="G28" s="13" t="n">
        <f aca="false">IFERROR((C28+D28+SUM(30日スケジュール!T5:T34))/B28,0)</f>
        <v>0</v>
      </c>
      <c r="H28" s="14" t="n">
        <f aca="false">IFERROR(E28/B28,0)</f>
        <v>0</v>
      </c>
    </row>
    <row r="30" customFormat="false" ht="15" hidden="false" customHeight="false" outlineLevel="0" collapsed="false">
      <c r="A30" s="5" t="s">
        <v>43</v>
      </c>
    </row>
    <row r="31" customFormat="false" ht="30" hidden="false" customHeight="true" outlineLevel="0" collapsed="false">
      <c r="A31" s="7" t="s">
        <v>44</v>
      </c>
      <c r="B31" s="7"/>
      <c r="C31" s="7"/>
      <c r="D31" s="7"/>
      <c r="E31" s="7"/>
      <c r="F31" s="7"/>
      <c r="G31" s="7"/>
      <c r="H31" s="7"/>
    </row>
    <row r="32" customFormat="false" ht="30" hidden="false" customHeight="true" outlineLevel="0" collapsed="false">
      <c r="A32" s="7" t="s">
        <v>45</v>
      </c>
      <c r="B32" s="7"/>
      <c r="C32" s="7"/>
      <c r="D32" s="7"/>
      <c r="E32" s="7"/>
      <c r="F32" s="7"/>
      <c r="G32" s="7"/>
      <c r="H32" s="7"/>
    </row>
    <row r="33" customFormat="false" ht="30" hidden="false" customHeight="true" outlineLevel="0" collapsed="false">
      <c r="A33" s="7" t="s">
        <v>46</v>
      </c>
      <c r="B33" s="7"/>
      <c r="C33" s="7"/>
      <c r="D33" s="7"/>
      <c r="E33" s="7"/>
      <c r="F33" s="7"/>
      <c r="G33" s="7"/>
      <c r="H33" s="7"/>
    </row>
    <row r="34" customFormat="false" ht="30" hidden="false" customHeight="true" outlineLevel="0" collapsed="false">
      <c r="A34" s="7" t="s">
        <v>47</v>
      </c>
      <c r="B34" s="7"/>
      <c r="C34" s="7"/>
      <c r="D34" s="7"/>
      <c r="E34" s="7"/>
      <c r="F34" s="7"/>
      <c r="G34" s="7"/>
      <c r="H34" s="7"/>
    </row>
    <row r="35" customFormat="false" ht="30" hidden="false" customHeight="true" outlineLevel="0" collapsed="false">
      <c r="A35" s="7" t="s">
        <v>48</v>
      </c>
      <c r="B35" s="7"/>
      <c r="C35" s="7"/>
      <c r="D35" s="7"/>
      <c r="E35" s="7"/>
      <c r="F35" s="7"/>
      <c r="G35" s="7"/>
      <c r="H35" s="7"/>
    </row>
    <row r="36" customFormat="false" ht="30" hidden="false" customHeight="true" outlineLevel="0" collapsed="false">
      <c r="A36" s="7" t="s">
        <v>49</v>
      </c>
      <c r="B36" s="7"/>
      <c r="C36" s="7"/>
      <c r="D36" s="7"/>
      <c r="E36" s="7"/>
      <c r="F36" s="7"/>
      <c r="G36" s="7"/>
      <c r="H36" s="7"/>
    </row>
    <row r="37" customFormat="false" ht="30" hidden="false" customHeight="true" outlineLevel="0" collapsed="false">
      <c r="A37" s="6" t="s">
        <v>50</v>
      </c>
      <c r="B37" s="6"/>
      <c r="C37" s="6"/>
      <c r="D37" s="6"/>
      <c r="E37" s="6"/>
      <c r="F37" s="6"/>
      <c r="G37" s="6"/>
      <c r="H37" s="6"/>
    </row>
  </sheetData>
  <mergeCells count="14">
    <mergeCell ref="B7:F7"/>
    <mergeCell ref="B8:F8"/>
    <mergeCell ref="B9:F9"/>
    <mergeCell ref="B10:F10"/>
    <mergeCell ref="B11:F11"/>
    <mergeCell ref="B12:F12"/>
    <mergeCell ref="B13:F13"/>
    <mergeCell ref="A31:H31"/>
    <mergeCell ref="A32:H32"/>
    <mergeCell ref="A33:H33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9" min="7" style="0" width="30"/>
    <col collapsed="false" customWidth="true" hidden="false" outlineLevel="0" max="11" min="10" style="0" width="42"/>
    <col collapsed="false" customWidth="true" hidden="false" outlineLevel="0" max="12" min="12" style="0" width="26"/>
    <col collapsed="false" customWidth="true" hidden="false" outlineLevel="0" max="13" min="13" style="0" width="24"/>
    <col collapsed="false" customWidth="true" hidden="false" outlineLevel="0" max="14" min="14" style="0" width="14"/>
    <col collapsed="false" customWidth="true" hidden="false" outlineLevel="0" max="15" min="15" style="0" width="24"/>
    <col collapsed="false" customWidth="true" hidden="false" outlineLevel="0" max="16" min="16" style="0" width="22"/>
    <col collapsed="false" customWidth="true" hidden="false" outlineLevel="0" max="20" min="17" style="0" width="8"/>
    <col collapsed="false" customWidth="true" hidden="false" outlineLevel="0" max="22" min="21" style="0" width="9"/>
    <col collapsed="false" customWidth="true" hidden="false" outlineLevel="0" max="23" min="23" style="0" width="8"/>
    <col collapsed="false" customWidth="true" hidden="false" outlineLevel="0" max="24" min="24" style="0" width="20"/>
  </cols>
  <sheetData>
    <row r="1" customFormat="false" ht="19.4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26.85" hidden="false" customHeight="false" outlineLevel="0" collapsed="false">
      <c r="A4" s="15" t="s">
        <v>53</v>
      </c>
      <c r="B4" s="16" t="s">
        <v>54</v>
      </c>
      <c r="C4" s="16" t="s">
        <v>55</v>
      </c>
      <c r="D4" s="16" t="s">
        <v>20</v>
      </c>
      <c r="E4" s="16" t="s">
        <v>56</v>
      </c>
      <c r="F4" s="16" t="s">
        <v>57</v>
      </c>
      <c r="G4" s="16" t="s">
        <v>58</v>
      </c>
      <c r="H4" s="16" t="s">
        <v>59</v>
      </c>
      <c r="I4" s="16" t="s">
        <v>60</v>
      </c>
      <c r="J4" s="16" t="s">
        <v>61</v>
      </c>
      <c r="K4" s="16" t="s">
        <v>62</v>
      </c>
      <c r="L4" s="16" t="s">
        <v>63</v>
      </c>
      <c r="M4" s="16" t="s">
        <v>64</v>
      </c>
      <c r="N4" s="16" t="s">
        <v>65</v>
      </c>
      <c r="O4" s="16" t="s">
        <v>66</v>
      </c>
      <c r="P4" s="16" t="s">
        <v>67</v>
      </c>
      <c r="Q4" s="16" t="s">
        <v>68</v>
      </c>
      <c r="R4" s="16" t="s">
        <v>69</v>
      </c>
      <c r="S4" s="16" t="s">
        <v>70</v>
      </c>
      <c r="T4" s="16" t="s">
        <v>71</v>
      </c>
      <c r="U4" s="16" t="s">
        <v>36</v>
      </c>
      <c r="V4" s="16" t="s">
        <v>37</v>
      </c>
      <c r="W4" s="16" t="s">
        <v>38</v>
      </c>
      <c r="X4" s="16" t="s">
        <v>72</v>
      </c>
    </row>
    <row r="5" customFormat="false" ht="259.5" hidden="false" customHeight="true" outlineLevel="0" collapsed="false">
      <c r="A5" s="17" t="n">
        <v>1</v>
      </c>
      <c r="B5" s="18" t="n">
        <f aca="false">設定・結論!$B$4+0</f>
        <v>46308</v>
      </c>
      <c r="C5" s="17" t="s">
        <v>73</v>
      </c>
      <c r="D5" s="19" t="s">
        <v>25</v>
      </c>
      <c r="E5" s="20" t="s">
        <v>74</v>
      </c>
      <c r="F5" s="19" t="s">
        <v>75</v>
      </c>
      <c r="G5" s="21" t="s">
        <v>76</v>
      </c>
      <c r="H5" s="21" t="s">
        <v>77</v>
      </c>
      <c r="I5" s="21" t="s">
        <v>78</v>
      </c>
      <c r="J5" s="21" t="s">
        <v>79</v>
      </c>
      <c r="K5" s="21" t="s">
        <v>80</v>
      </c>
      <c r="L5" s="21" t="s">
        <v>81</v>
      </c>
      <c r="M5" s="21" t="s">
        <v>82</v>
      </c>
      <c r="N5" s="22" t="s">
        <v>83</v>
      </c>
      <c r="O5" s="21" t="s">
        <v>84</v>
      </c>
      <c r="P5" s="21" t="s">
        <v>85</v>
      </c>
      <c r="Q5" s="23"/>
      <c r="R5" s="23"/>
      <c r="S5" s="23"/>
      <c r="T5" s="23"/>
      <c r="U5" s="23"/>
      <c r="V5" s="23"/>
      <c r="W5" s="24" t="str">
        <f aca="false">IF(Q5&gt;0,(R5+S5+T5)/Q5,"")</f>
        <v/>
      </c>
      <c r="X5" s="25"/>
    </row>
    <row r="6" customFormat="false" ht="259.5" hidden="false" customHeight="true" outlineLevel="0" collapsed="false">
      <c r="A6" s="20" t="n">
        <v>2</v>
      </c>
      <c r="B6" s="18" t="n">
        <f aca="false">設定・結論!$B$4+1</f>
        <v>46309</v>
      </c>
      <c r="C6" s="17" t="s">
        <v>86</v>
      </c>
      <c r="D6" s="19" t="s">
        <v>24</v>
      </c>
      <c r="E6" s="20" t="s">
        <v>87</v>
      </c>
      <c r="F6" s="19" t="s">
        <v>88</v>
      </c>
      <c r="G6" s="22" t="s">
        <v>89</v>
      </c>
      <c r="H6" s="21" t="s">
        <v>90</v>
      </c>
      <c r="I6" s="21" t="s">
        <v>91</v>
      </c>
      <c r="J6" s="21" t="s">
        <v>92</v>
      </c>
      <c r="K6" s="21" t="s">
        <v>93</v>
      </c>
      <c r="L6" s="21" t="s">
        <v>94</v>
      </c>
      <c r="M6" s="21" t="s">
        <v>95</v>
      </c>
      <c r="N6" s="22" t="s">
        <v>96</v>
      </c>
      <c r="O6" s="22" t="s">
        <v>97</v>
      </c>
      <c r="P6" s="21" t="s">
        <v>98</v>
      </c>
      <c r="Q6" s="23"/>
      <c r="R6" s="23"/>
      <c r="S6" s="23"/>
      <c r="T6" s="23"/>
      <c r="U6" s="23"/>
      <c r="V6" s="23"/>
      <c r="W6" s="24" t="str">
        <f aca="false">IF(Q6&gt;0,(R6+S6+T6)/Q6,"")</f>
        <v/>
      </c>
      <c r="X6" s="25"/>
    </row>
    <row r="7" customFormat="false" ht="259.5" hidden="false" customHeight="true" outlineLevel="0" collapsed="false">
      <c r="A7" s="20" t="n">
        <v>3</v>
      </c>
      <c r="B7" s="18" t="n">
        <f aca="false">設定・結論!$B$4+2</f>
        <v>46310</v>
      </c>
      <c r="C7" s="17" t="s">
        <v>99</v>
      </c>
      <c r="D7" s="19" t="s">
        <v>26</v>
      </c>
      <c r="E7" s="20" t="s">
        <v>87</v>
      </c>
      <c r="F7" s="19" t="s">
        <v>100</v>
      </c>
      <c r="G7" s="21" t="s">
        <v>101</v>
      </c>
      <c r="H7" s="21" t="s">
        <v>102</v>
      </c>
      <c r="I7" s="21" t="s">
        <v>103</v>
      </c>
      <c r="J7" s="21" t="s">
        <v>104</v>
      </c>
      <c r="K7" s="21" t="s">
        <v>105</v>
      </c>
      <c r="L7" s="21" t="s">
        <v>106</v>
      </c>
      <c r="M7" s="21" t="s">
        <v>107</v>
      </c>
      <c r="N7" s="22" t="s">
        <v>96</v>
      </c>
      <c r="O7" s="22" t="s">
        <v>108</v>
      </c>
      <c r="P7" s="22" t="s">
        <v>109</v>
      </c>
      <c r="Q7" s="23"/>
      <c r="R7" s="23"/>
      <c r="S7" s="23"/>
      <c r="T7" s="23"/>
      <c r="U7" s="23"/>
      <c r="V7" s="23"/>
      <c r="W7" s="24" t="str">
        <f aca="false">IF(Q7&gt;0,(R7+S7+T7)/Q7,"")</f>
        <v/>
      </c>
      <c r="X7" s="25"/>
    </row>
    <row r="8" customFormat="false" ht="259.5" hidden="false" customHeight="true" outlineLevel="0" collapsed="false">
      <c r="A8" s="20" t="n">
        <v>4</v>
      </c>
      <c r="B8" s="18" t="n">
        <f aca="false">設定・結論!$B$4+3</f>
        <v>46311</v>
      </c>
      <c r="C8" s="17" t="s">
        <v>73</v>
      </c>
      <c r="D8" s="19" t="s">
        <v>24</v>
      </c>
      <c r="E8" s="20" t="s">
        <v>110</v>
      </c>
      <c r="F8" s="19" t="s">
        <v>111</v>
      </c>
      <c r="G8" s="21" t="s">
        <v>112</v>
      </c>
      <c r="H8" s="21" t="s">
        <v>113</v>
      </c>
      <c r="I8" s="21" t="s">
        <v>114</v>
      </c>
      <c r="J8" s="21" t="s">
        <v>115</v>
      </c>
      <c r="K8" s="21" t="s">
        <v>116</v>
      </c>
      <c r="L8" s="21" t="s">
        <v>117</v>
      </c>
      <c r="M8" s="21" t="s">
        <v>95</v>
      </c>
      <c r="N8" s="22" t="s">
        <v>83</v>
      </c>
      <c r="O8" s="21" t="s">
        <v>118</v>
      </c>
      <c r="P8" s="21" t="s">
        <v>119</v>
      </c>
      <c r="Q8" s="23"/>
      <c r="R8" s="23"/>
      <c r="S8" s="23"/>
      <c r="T8" s="23"/>
      <c r="U8" s="23"/>
      <c r="V8" s="23"/>
      <c r="W8" s="24" t="str">
        <f aca="false">IF(Q8&gt;0,(R8+S8+T8)/Q8,"")</f>
        <v/>
      </c>
      <c r="X8" s="25"/>
    </row>
    <row r="9" customFormat="false" ht="259.5" hidden="false" customHeight="true" outlineLevel="0" collapsed="false">
      <c r="A9" s="20" t="n">
        <v>5</v>
      </c>
      <c r="B9" s="18" t="n">
        <f aca="false">設定・結論!$B$4+4</f>
        <v>46312</v>
      </c>
      <c r="C9" s="17" t="s">
        <v>73</v>
      </c>
      <c r="D9" s="19" t="s">
        <v>25</v>
      </c>
      <c r="E9" s="20" t="s">
        <v>110</v>
      </c>
      <c r="F9" s="19" t="s">
        <v>120</v>
      </c>
      <c r="G9" s="21" t="s">
        <v>121</v>
      </c>
      <c r="H9" s="21" t="s">
        <v>122</v>
      </c>
      <c r="I9" s="21" t="s">
        <v>123</v>
      </c>
      <c r="J9" s="21" t="s">
        <v>124</v>
      </c>
      <c r="K9" s="21" t="s">
        <v>125</v>
      </c>
      <c r="L9" s="21" t="s">
        <v>126</v>
      </c>
      <c r="M9" s="21" t="s">
        <v>95</v>
      </c>
      <c r="N9" s="22" t="s">
        <v>127</v>
      </c>
      <c r="O9" s="22" t="s">
        <v>128</v>
      </c>
      <c r="P9" s="21" t="s">
        <v>129</v>
      </c>
      <c r="Q9" s="23"/>
      <c r="R9" s="23"/>
      <c r="S9" s="23"/>
      <c r="T9" s="23"/>
      <c r="U9" s="23"/>
      <c r="V9" s="23"/>
      <c r="W9" s="24" t="str">
        <f aca="false">IF(Q9&gt;0,(R9+S9+T9)/Q9,"")</f>
        <v/>
      </c>
      <c r="X9" s="25"/>
    </row>
    <row r="10" customFormat="false" ht="259.5" hidden="false" customHeight="true" outlineLevel="0" collapsed="false">
      <c r="A10" s="20" t="n">
        <v>6</v>
      </c>
      <c r="B10" s="18" t="n">
        <f aca="false">設定・結論!$B$4+5</f>
        <v>46313</v>
      </c>
      <c r="C10" s="17" t="s">
        <v>130</v>
      </c>
      <c r="D10" s="19" t="s">
        <v>24</v>
      </c>
      <c r="E10" s="20" t="s">
        <v>87</v>
      </c>
      <c r="F10" s="19" t="s">
        <v>131</v>
      </c>
      <c r="G10" s="21" t="s">
        <v>132</v>
      </c>
      <c r="H10" s="21" t="s">
        <v>133</v>
      </c>
      <c r="I10" s="21" t="s">
        <v>134</v>
      </c>
      <c r="J10" s="21" t="s">
        <v>135</v>
      </c>
      <c r="K10" s="21" t="s">
        <v>136</v>
      </c>
      <c r="L10" s="21" t="s">
        <v>137</v>
      </c>
      <c r="M10" s="21" t="s">
        <v>95</v>
      </c>
      <c r="N10" s="22" t="s">
        <v>96</v>
      </c>
      <c r="O10" s="21" t="s">
        <v>138</v>
      </c>
      <c r="P10" s="21" t="s">
        <v>139</v>
      </c>
      <c r="Q10" s="23"/>
      <c r="R10" s="23"/>
      <c r="S10" s="23"/>
      <c r="T10" s="23"/>
      <c r="U10" s="23"/>
      <c r="V10" s="23"/>
      <c r="W10" s="24" t="str">
        <f aca="false">IF(Q10&gt;0,(R10+S10+T10)/Q10,"")</f>
        <v/>
      </c>
      <c r="X10" s="25"/>
    </row>
    <row r="11" customFormat="false" ht="259.5" hidden="false" customHeight="true" outlineLevel="0" collapsed="false">
      <c r="A11" s="20" t="n">
        <v>7</v>
      </c>
      <c r="B11" s="18" t="n">
        <f aca="false">設定・結論!$B$4+6</f>
        <v>46314</v>
      </c>
      <c r="C11" s="17" t="s">
        <v>73</v>
      </c>
      <c r="D11" s="19" t="s">
        <v>26</v>
      </c>
      <c r="E11" s="20" t="s">
        <v>87</v>
      </c>
      <c r="F11" s="19" t="s">
        <v>140</v>
      </c>
      <c r="G11" s="21" t="s">
        <v>141</v>
      </c>
      <c r="H11" s="21" t="s">
        <v>142</v>
      </c>
      <c r="I11" s="21" t="s">
        <v>143</v>
      </c>
      <c r="J11" s="21" t="s">
        <v>144</v>
      </c>
      <c r="K11" s="21" t="s">
        <v>145</v>
      </c>
      <c r="L11" s="21" t="s">
        <v>146</v>
      </c>
      <c r="M11" s="22" t="s">
        <v>147</v>
      </c>
      <c r="N11" s="22" t="s">
        <v>148</v>
      </c>
      <c r="O11" s="22" t="s">
        <v>149</v>
      </c>
      <c r="P11" s="21" t="s">
        <v>150</v>
      </c>
      <c r="Q11" s="23"/>
      <c r="R11" s="23"/>
      <c r="S11" s="23"/>
      <c r="T11" s="23"/>
      <c r="U11" s="23"/>
      <c r="V11" s="23"/>
      <c r="W11" s="24" t="str">
        <f aca="false">IF(Q11&gt;0,(R11+S11+T11)/Q11,"")</f>
        <v/>
      </c>
      <c r="X11" s="25"/>
    </row>
    <row r="12" customFormat="false" ht="259.5" hidden="false" customHeight="true" outlineLevel="0" collapsed="false">
      <c r="A12" s="20" t="n">
        <v>8</v>
      </c>
      <c r="B12" s="18" t="n">
        <f aca="false">設定・結論!$B$4+7</f>
        <v>46315</v>
      </c>
      <c r="C12" s="17" t="s">
        <v>73</v>
      </c>
      <c r="D12" s="19" t="s">
        <v>24</v>
      </c>
      <c r="E12" s="20" t="s">
        <v>110</v>
      </c>
      <c r="F12" s="19" t="s">
        <v>151</v>
      </c>
      <c r="G12" s="21" t="s">
        <v>152</v>
      </c>
      <c r="H12" s="21" t="s">
        <v>153</v>
      </c>
      <c r="I12" s="21" t="s">
        <v>154</v>
      </c>
      <c r="J12" s="21" t="s">
        <v>155</v>
      </c>
      <c r="K12" s="21" t="s">
        <v>156</v>
      </c>
      <c r="L12" s="21" t="s">
        <v>157</v>
      </c>
      <c r="M12" s="21" t="s">
        <v>158</v>
      </c>
      <c r="N12" s="22" t="s">
        <v>159</v>
      </c>
      <c r="O12" s="22" t="s">
        <v>160</v>
      </c>
      <c r="P12" s="21" t="s">
        <v>161</v>
      </c>
      <c r="Q12" s="23"/>
      <c r="R12" s="23"/>
      <c r="S12" s="23"/>
      <c r="T12" s="23"/>
      <c r="U12" s="23"/>
      <c r="V12" s="23"/>
      <c r="W12" s="24" t="str">
        <f aca="false">IF(Q12&gt;0,(R12+S12+T12)/Q12,"")</f>
        <v/>
      </c>
      <c r="X12" s="25"/>
    </row>
    <row r="13" customFormat="false" ht="259.5" hidden="false" customHeight="true" outlineLevel="0" collapsed="false">
      <c r="A13" s="20" t="n">
        <v>9</v>
      </c>
      <c r="B13" s="18" t="n">
        <f aca="false">設定・結論!$B$4+8</f>
        <v>46316</v>
      </c>
      <c r="C13" s="17" t="s">
        <v>73</v>
      </c>
      <c r="D13" s="19" t="s">
        <v>25</v>
      </c>
      <c r="E13" s="20" t="s">
        <v>110</v>
      </c>
      <c r="F13" s="19" t="s">
        <v>162</v>
      </c>
      <c r="G13" s="22" t="s">
        <v>163</v>
      </c>
      <c r="H13" s="21" t="s">
        <v>164</v>
      </c>
      <c r="I13" s="21" t="s">
        <v>165</v>
      </c>
      <c r="J13" s="21" t="s">
        <v>166</v>
      </c>
      <c r="K13" s="21" t="s">
        <v>167</v>
      </c>
      <c r="L13" s="21" t="s">
        <v>168</v>
      </c>
      <c r="M13" s="21" t="s">
        <v>95</v>
      </c>
      <c r="N13" s="22" t="s">
        <v>83</v>
      </c>
      <c r="O13" s="22" t="s">
        <v>169</v>
      </c>
      <c r="P13" s="21" t="s">
        <v>170</v>
      </c>
      <c r="Q13" s="23"/>
      <c r="R13" s="23"/>
      <c r="S13" s="23"/>
      <c r="T13" s="23"/>
      <c r="U13" s="23"/>
      <c r="V13" s="23"/>
      <c r="W13" s="24" t="str">
        <f aca="false">IF(Q13&gt;0,(R13+S13+T13)/Q13,"")</f>
        <v/>
      </c>
      <c r="X13" s="25"/>
    </row>
    <row r="14" customFormat="false" ht="259.5" hidden="false" customHeight="true" outlineLevel="0" collapsed="false">
      <c r="A14" s="20" t="n">
        <v>10</v>
      </c>
      <c r="B14" s="18" t="n">
        <f aca="false">設定・結論!$B$4+9</f>
        <v>46317</v>
      </c>
      <c r="C14" s="17" t="s">
        <v>171</v>
      </c>
      <c r="D14" s="19" t="s">
        <v>28</v>
      </c>
      <c r="E14" s="20" t="s">
        <v>110</v>
      </c>
      <c r="F14" s="19" t="s">
        <v>172</v>
      </c>
      <c r="G14" s="21" t="s">
        <v>173</v>
      </c>
      <c r="H14" s="21" t="s">
        <v>174</v>
      </c>
      <c r="I14" s="21" t="s">
        <v>175</v>
      </c>
      <c r="J14" s="21" t="s">
        <v>176</v>
      </c>
      <c r="K14" s="21" t="s">
        <v>177</v>
      </c>
      <c r="L14" s="21" t="s">
        <v>178</v>
      </c>
      <c r="M14" s="21" t="s">
        <v>95</v>
      </c>
      <c r="N14" s="22" t="s">
        <v>96</v>
      </c>
      <c r="O14" s="21" t="s">
        <v>179</v>
      </c>
      <c r="P14" s="21" t="s">
        <v>180</v>
      </c>
      <c r="Q14" s="23"/>
      <c r="R14" s="23"/>
      <c r="S14" s="23"/>
      <c r="T14" s="23"/>
      <c r="U14" s="23"/>
      <c r="V14" s="23"/>
      <c r="W14" s="24" t="str">
        <f aca="false">IF(Q14&gt;0,(R14+S14+T14)/Q14,"")</f>
        <v/>
      </c>
      <c r="X14" s="25"/>
    </row>
    <row r="15" customFormat="false" ht="259.5" hidden="false" customHeight="true" outlineLevel="0" collapsed="false">
      <c r="A15" s="20" t="n">
        <v>11</v>
      </c>
      <c r="B15" s="18" t="n">
        <f aca="false">設定・結論!$B$4+10</f>
        <v>46318</v>
      </c>
      <c r="C15" s="17" t="s">
        <v>73</v>
      </c>
      <c r="D15" s="19" t="s">
        <v>24</v>
      </c>
      <c r="E15" s="20" t="s">
        <v>110</v>
      </c>
      <c r="F15" s="19" t="s">
        <v>181</v>
      </c>
      <c r="G15" s="21" t="s">
        <v>182</v>
      </c>
      <c r="H15" s="21" t="s">
        <v>183</v>
      </c>
      <c r="I15" s="21" t="s">
        <v>184</v>
      </c>
      <c r="J15" s="21" t="s">
        <v>185</v>
      </c>
      <c r="K15" s="21" t="s">
        <v>186</v>
      </c>
      <c r="L15" s="21" t="s">
        <v>187</v>
      </c>
      <c r="M15" s="21" t="s">
        <v>95</v>
      </c>
      <c r="N15" s="22" t="s">
        <v>127</v>
      </c>
      <c r="O15" s="22" t="s">
        <v>188</v>
      </c>
      <c r="P15" s="21" t="s">
        <v>189</v>
      </c>
      <c r="Q15" s="23"/>
      <c r="R15" s="23"/>
      <c r="S15" s="23"/>
      <c r="T15" s="23"/>
      <c r="U15" s="23"/>
      <c r="V15" s="23"/>
      <c r="W15" s="24" t="str">
        <f aca="false">IF(Q15&gt;0,(R15+S15+T15)/Q15,"")</f>
        <v/>
      </c>
      <c r="X15" s="25"/>
    </row>
    <row r="16" customFormat="false" ht="259.5" hidden="false" customHeight="true" outlineLevel="0" collapsed="false">
      <c r="A16" s="20" t="n">
        <v>12</v>
      </c>
      <c r="B16" s="18" t="n">
        <f aca="false">設定・結論!$B$4+11</f>
        <v>46319</v>
      </c>
      <c r="C16" s="17" t="s">
        <v>73</v>
      </c>
      <c r="D16" s="19" t="s">
        <v>26</v>
      </c>
      <c r="E16" s="20" t="s">
        <v>87</v>
      </c>
      <c r="F16" s="19" t="s">
        <v>190</v>
      </c>
      <c r="G16" s="21" t="s">
        <v>191</v>
      </c>
      <c r="H16" s="21" t="s">
        <v>192</v>
      </c>
      <c r="I16" s="21" t="s">
        <v>193</v>
      </c>
      <c r="J16" s="21" t="s">
        <v>194</v>
      </c>
      <c r="K16" s="21" t="s">
        <v>195</v>
      </c>
      <c r="L16" s="21" t="s">
        <v>196</v>
      </c>
      <c r="M16" s="21" t="s">
        <v>197</v>
      </c>
      <c r="N16" s="22" t="s">
        <v>198</v>
      </c>
      <c r="O16" s="22" t="s">
        <v>199</v>
      </c>
      <c r="P16" s="21" t="s">
        <v>200</v>
      </c>
      <c r="Q16" s="23"/>
      <c r="R16" s="23"/>
      <c r="S16" s="23"/>
      <c r="T16" s="23"/>
      <c r="U16" s="23"/>
      <c r="V16" s="23"/>
      <c r="W16" s="24" t="str">
        <f aca="false">IF(Q16&gt;0,(R16+S16+T16)/Q16,"")</f>
        <v/>
      </c>
      <c r="X16" s="25"/>
    </row>
    <row r="17" customFormat="false" ht="259.5" hidden="false" customHeight="true" outlineLevel="0" collapsed="false">
      <c r="A17" s="20" t="n">
        <v>13</v>
      </c>
      <c r="B17" s="18" t="n">
        <f aca="false">設定・結論!$B$4+12</f>
        <v>46320</v>
      </c>
      <c r="C17" s="17" t="s">
        <v>86</v>
      </c>
      <c r="D17" s="19" t="s">
        <v>24</v>
      </c>
      <c r="E17" s="20" t="s">
        <v>110</v>
      </c>
      <c r="F17" s="19" t="s">
        <v>201</v>
      </c>
      <c r="G17" s="21" t="s">
        <v>202</v>
      </c>
      <c r="H17" s="21" t="s">
        <v>203</v>
      </c>
      <c r="I17" s="21" t="s">
        <v>204</v>
      </c>
      <c r="J17" s="21" t="s">
        <v>205</v>
      </c>
      <c r="K17" s="21" t="s">
        <v>206</v>
      </c>
      <c r="L17" s="21" t="s">
        <v>207</v>
      </c>
      <c r="M17" s="21" t="s">
        <v>95</v>
      </c>
      <c r="N17" s="22" t="s">
        <v>83</v>
      </c>
      <c r="O17" s="22" t="s">
        <v>208</v>
      </c>
      <c r="P17" s="21" t="s">
        <v>209</v>
      </c>
      <c r="Q17" s="23"/>
      <c r="R17" s="23"/>
      <c r="S17" s="23"/>
      <c r="T17" s="23"/>
      <c r="U17" s="23"/>
      <c r="V17" s="23"/>
      <c r="W17" s="24" t="str">
        <f aca="false">IF(Q17&gt;0,(R17+S17+T17)/Q17,"")</f>
        <v/>
      </c>
      <c r="X17" s="25"/>
    </row>
    <row r="18" customFormat="false" ht="259.5" hidden="false" customHeight="true" outlineLevel="0" collapsed="false">
      <c r="A18" s="20" t="n">
        <v>14</v>
      </c>
      <c r="B18" s="18" t="n">
        <f aca="false">設定・結論!$B$4+13</f>
        <v>46321</v>
      </c>
      <c r="C18" s="17" t="s">
        <v>73</v>
      </c>
      <c r="D18" s="19" t="s">
        <v>26</v>
      </c>
      <c r="E18" s="20" t="s">
        <v>87</v>
      </c>
      <c r="F18" s="26" t="s">
        <v>210</v>
      </c>
      <c r="G18" s="21" t="s">
        <v>211</v>
      </c>
      <c r="H18" s="21" t="s">
        <v>212</v>
      </c>
      <c r="I18" s="21" t="s">
        <v>213</v>
      </c>
      <c r="J18" s="21" t="s">
        <v>214</v>
      </c>
      <c r="K18" s="21" t="s">
        <v>215</v>
      </c>
      <c r="L18" s="21" t="s">
        <v>216</v>
      </c>
      <c r="M18" s="22" t="s">
        <v>217</v>
      </c>
      <c r="N18" s="22" t="s">
        <v>218</v>
      </c>
      <c r="O18" s="22" t="s">
        <v>219</v>
      </c>
      <c r="P18" s="22" t="s">
        <v>220</v>
      </c>
      <c r="Q18" s="23"/>
      <c r="R18" s="23"/>
      <c r="S18" s="23"/>
      <c r="T18" s="23"/>
      <c r="U18" s="23"/>
      <c r="V18" s="23"/>
      <c r="W18" s="24" t="str">
        <f aca="false">IF(Q18&gt;0,(R18+S18+T18)/Q18,"")</f>
        <v/>
      </c>
      <c r="X18" s="25"/>
    </row>
    <row r="19" customFormat="false" ht="259.5" hidden="false" customHeight="true" outlineLevel="0" collapsed="false">
      <c r="A19" s="27" t="n">
        <v>15</v>
      </c>
      <c r="B19" s="28" t="n">
        <f aca="false">設定・結論!$B$4+14</f>
        <v>46322</v>
      </c>
      <c r="C19" s="27" t="s">
        <v>73</v>
      </c>
      <c r="D19" s="21" t="s">
        <v>25</v>
      </c>
      <c r="E19" s="29" t="s">
        <v>110</v>
      </c>
      <c r="F19" s="21" t="s">
        <v>221</v>
      </c>
      <c r="G19" s="21" t="s">
        <v>222</v>
      </c>
      <c r="H19" s="21" t="s">
        <v>223</v>
      </c>
      <c r="I19" s="21" t="s">
        <v>224</v>
      </c>
      <c r="J19" s="21" t="s">
        <v>225</v>
      </c>
      <c r="K19" s="21" t="s">
        <v>226</v>
      </c>
      <c r="L19" s="21" t="s">
        <v>227</v>
      </c>
      <c r="M19" s="21" t="s">
        <v>95</v>
      </c>
      <c r="N19" s="22" t="s">
        <v>127</v>
      </c>
      <c r="O19" s="22" t="s">
        <v>228</v>
      </c>
      <c r="P19" s="21" t="s">
        <v>229</v>
      </c>
      <c r="Q19" s="23"/>
      <c r="R19" s="23"/>
      <c r="S19" s="23"/>
      <c r="T19" s="23"/>
      <c r="U19" s="23"/>
      <c r="V19" s="23"/>
      <c r="W19" s="24" t="str">
        <f aca="false">IF(Q19&gt;0,(R19+S19+T19)/Q19,"")</f>
        <v/>
      </c>
      <c r="X19" s="25"/>
    </row>
    <row r="20" customFormat="false" ht="259.5" hidden="false" customHeight="true" outlineLevel="0" collapsed="false">
      <c r="A20" s="29" t="n">
        <v>16</v>
      </c>
      <c r="B20" s="28" t="n">
        <f aca="false">設定・結論!$B$4+15</f>
        <v>46323</v>
      </c>
      <c r="C20" s="27" t="s">
        <v>171</v>
      </c>
      <c r="D20" s="21" t="s">
        <v>24</v>
      </c>
      <c r="E20" s="29" t="s">
        <v>110</v>
      </c>
      <c r="F20" s="21" t="s">
        <v>230</v>
      </c>
      <c r="G20" s="21" t="s">
        <v>231</v>
      </c>
      <c r="H20" s="21" t="s">
        <v>232</v>
      </c>
      <c r="I20" s="21" t="s">
        <v>233</v>
      </c>
      <c r="J20" s="21" t="s">
        <v>234</v>
      </c>
      <c r="K20" s="21" t="s">
        <v>235</v>
      </c>
      <c r="L20" s="21" t="s">
        <v>236</v>
      </c>
      <c r="M20" s="21" t="s">
        <v>95</v>
      </c>
      <c r="N20" s="22" t="s">
        <v>237</v>
      </c>
      <c r="O20" s="22" t="s">
        <v>238</v>
      </c>
      <c r="P20" s="21" t="s">
        <v>239</v>
      </c>
      <c r="Q20" s="23"/>
      <c r="R20" s="23"/>
      <c r="S20" s="23"/>
      <c r="T20" s="23"/>
      <c r="U20" s="23"/>
      <c r="V20" s="23"/>
      <c r="W20" s="24" t="str">
        <f aca="false">IF(Q20&gt;0,(R20+S20+T20)/Q20,"")</f>
        <v/>
      </c>
      <c r="X20" s="25"/>
    </row>
    <row r="21" customFormat="false" ht="259.5" hidden="false" customHeight="true" outlineLevel="0" collapsed="false">
      <c r="A21" s="29" t="n">
        <v>17</v>
      </c>
      <c r="B21" s="28" t="n">
        <f aca="false">設定・結論!$B$4+16</f>
        <v>46324</v>
      </c>
      <c r="C21" s="27" t="s">
        <v>240</v>
      </c>
      <c r="D21" s="21" t="s">
        <v>28</v>
      </c>
      <c r="E21" s="29" t="s">
        <v>87</v>
      </c>
      <c r="F21" s="21" t="s">
        <v>241</v>
      </c>
      <c r="G21" s="21" t="s">
        <v>242</v>
      </c>
      <c r="H21" s="21" t="s">
        <v>243</v>
      </c>
      <c r="I21" s="21" t="s">
        <v>244</v>
      </c>
      <c r="J21" s="21" t="s">
        <v>245</v>
      </c>
      <c r="K21" s="21" t="s">
        <v>246</v>
      </c>
      <c r="L21" s="21" t="s">
        <v>247</v>
      </c>
      <c r="M21" s="21" t="s">
        <v>95</v>
      </c>
      <c r="N21" s="22" t="s">
        <v>248</v>
      </c>
      <c r="O21" s="22" t="s">
        <v>249</v>
      </c>
      <c r="P21" s="21" t="s">
        <v>250</v>
      </c>
      <c r="Q21" s="23"/>
      <c r="R21" s="23"/>
      <c r="S21" s="23"/>
      <c r="T21" s="23"/>
      <c r="U21" s="23"/>
      <c r="V21" s="23"/>
      <c r="W21" s="24" t="str">
        <f aca="false">IF(Q21&gt;0,(R21+S21+T21)/Q21,"")</f>
        <v/>
      </c>
      <c r="X21" s="25"/>
    </row>
    <row r="22" customFormat="false" ht="259.5" hidden="false" customHeight="true" outlineLevel="0" collapsed="false">
      <c r="A22" s="29" t="n">
        <v>18</v>
      </c>
      <c r="B22" s="28" t="n">
        <f aca="false">設定・結論!$B$4+17</f>
        <v>46325</v>
      </c>
      <c r="C22" s="27" t="s">
        <v>130</v>
      </c>
      <c r="D22" s="21" t="s">
        <v>26</v>
      </c>
      <c r="E22" s="29" t="s">
        <v>87</v>
      </c>
      <c r="F22" s="21" t="s">
        <v>251</v>
      </c>
      <c r="G22" s="21" t="s">
        <v>252</v>
      </c>
      <c r="H22" s="21" t="s">
        <v>253</v>
      </c>
      <c r="I22" s="21" t="s">
        <v>254</v>
      </c>
      <c r="J22" s="21" t="s">
        <v>255</v>
      </c>
      <c r="K22" s="21" t="s">
        <v>256</v>
      </c>
      <c r="L22" s="21" t="s">
        <v>257</v>
      </c>
      <c r="M22" s="21" t="s">
        <v>258</v>
      </c>
      <c r="N22" s="22" t="s">
        <v>96</v>
      </c>
      <c r="O22" s="21" t="s">
        <v>259</v>
      </c>
      <c r="P22" s="21" t="s">
        <v>260</v>
      </c>
      <c r="Q22" s="23"/>
      <c r="R22" s="23"/>
      <c r="S22" s="23"/>
      <c r="T22" s="23"/>
      <c r="U22" s="23"/>
      <c r="V22" s="23"/>
      <c r="W22" s="24" t="str">
        <f aca="false">IF(Q22&gt;0,(R22+S22+T22)/Q22,"")</f>
        <v/>
      </c>
      <c r="X22" s="25"/>
    </row>
    <row r="23" customFormat="false" ht="259.5" hidden="false" customHeight="true" outlineLevel="0" collapsed="false">
      <c r="A23" s="29" t="n">
        <v>19</v>
      </c>
      <c r="B23" s="28" t="n">
        <f aca="false">設定・結論!$B$4+18</f>
        <v>46326</v>
      </c>
      <c r="C23" s="27" t="s">
        <v>73</v>
      </c>
      <c r="D23" s="21" t="s">
        <v>24</v>
      </c>
      <c r="E23" s="29" t="s">
        <v>87</v>
      </c>
      <c r="F23" s="21" t="s">
        <v>261</v>
      </c>
      <c r="G23" s="21" t="s">
        <v>262</v>
      </c>
      <c r="H23" s="21" t="s">
        <v>263</v>
      </c>
      <c r="I23" s="21" t="s">
        <v>264</v>
      </c>
      <c r="J23" s="21" t="s">
        <v>265</v>
      </c>
      <c r="K23" s="22" t="s">
        <v>266</v>
      </c>
      <c r="L23" s="21" t="s">
        <v>267</v>
      </c>
      <c r="M23" s="21" t="s">
        <v>268</v>
      </c>
      <c r="N23" s="22" t="s">
        <v>269</v>
      </c>
      <c r="O23" s="22" t="s">
        <v>270</v>
      </c>
      <c r="P23" s="21" t="s">
        <v>271</v>
      </c>
      <c r="Q23" s="23"/>
      <c r="R23" s="23"/>
      <c r="S23" s="23"/>
      <c r="T23" s="23"/>
      <c r="U23" s="23"/>
      <c r="V23" s="23"/>
      <c r="W23" s="24" t="str">
        <f aca="false">IF(Q23&gt;0,(R23+S23+T23)/Q23,"")</f>
        <v/>
      </c>
      <c r="X23" s="25"/>
    </row>
    <row r="24" customFormat="false" ht="259.5" hidden="false" customHeight="true" outlineLevel="0" collapsed="false">
      <c r="A24" s="29" t="n">
        <v>20</v>
      </c>
      <c r="B24" s="28" t="n">
        <f aca="false">設定・結論!$B$4+19</f>
        <v>46327</v>
      </c>
      <c r="C24" s="27" t="s">
        <v>86</v>
      </c>
      <c r="D24" s="21" t="s">
        <v>25</v>
      </c>
      <c r="E24" s="29" t="s">
        <v>87</v>
      </c>
      <c r="F24" s="21" t="s">
        <v>272</v>
      </c>
      <c r="G24" s="21" t="s">
        <v>273</v>
      </c>
      <c r="H24" s="21" t="s">
        <v>274</v>
      </c>
      <c r="I24" s="21" t="s">
        <v>275</v>
      </c>
      <c r="J24" s="21" t="s">
        <v>276</v>
      </c>
      <c r="K24" s="21" t="s">
        <v>277</v>
      </c>
      <c r="L24" s="21" t="s">
        <v>278</v>
      </c>
      <c r="M24" s="21" t="s">
        <v>95</v>
      </c>
      <c r="N24" s="22" t="s">
        <v>237</v>
      </c>
      <c r="O24" s="22" t="s">
        <v>279</v>
      </c>
      <c r="P24" s="21" t="s">
        <v>280</v>
      </c>
      <c r="Q24" s="23"/>
      <c r="R24" s="23"/>
      <c r="S24" s="23"/>
      <c r="T24" s="23"/>
      <c r="U24" s="23"/>
      <c r="V24" s="23"/>
      <c r="W24" s="24" t="str">
        <f aca="false">IF(Q24&gt;0,(R24+S24+T24)/Q24,"")</f>
        <v/>
      </c>
      <c r="X24" s="25"/>
    </row>
    <row r="25" customFormat="false" ht="259.5" hidden="false" customHeight="true" outlineLevel="0" collapsed="false">
      <c r="A25" s="29" t="n">
        <v>21</v>
      </c>
      <c r="B25" s="28" t="n">
        <f aca="false">設定・結論!$B$4+20</f>
        <v>46328</v>
      </c>
      <c r="C25" s="27" t="s">
        <v>73</v>
      </c>
      <c r="D25" s="21" t="s">
        <v>27</v>
      </c>
      <c r="E25" s="29" t="s">
        <v>110</v>
      </c>
      <c r="F25" s="21" t="s">
        <v>281</v>
      </c>
      <c r="G25" s="21" t="s">
        <v>282</v>
      </c>
      <c r="H25" s="21" t="s">
        <v>283</v>
      </c>
      <c r="I25" s="21" t="s">
        <v>284</v>
      </c>
      <c r="J25" s="21" t="s">
        <v>285</v>
      </c>
      <c r="K25" s="21" t="s">
        <v>286</v>
      </c>
      <c r="L25" s="21" t="s">
        <v>287</v>
      </c>
      <c r="M25" s="21" t="s">
        <v>288</v>
      </c>
      <c r="N25" s="22" t="s">
        <v>83</v>
      </c>
      <c r="O25" s="22" t="s">
        <v>289</v>
      </c>
      <c r="P25" s="21" t="s">
        <v>290</v>
      </c>
      <c r="Q25" s="23"/>
      <c r="R25" s="23"/>
      <c r="S25" s="23"/>
      <c r="T25" s="23"/>
      <c r="U25" s="23"/>
      <c r="V25" s="23"/>
      <c r="W25" s="24" t="str">
        <f aca="false">IF(Q25&gt;0,(R25+S25+T25)/Q25,"")</f>
        <v/>
      </c>
      <c r="X25" s="25"/>
    </row>
    <row r="26" customFormat="false" ht="259.5" hidden="false" customHeight="true" outlineLevel="0" collapsed="false">
      <c r="A26" s="29" t="n">
        <v>22</v>
      </c>
      <c r="B26" s="28" t="n">
        <f aca="false">設定・結論!$B$4+21</f>
        <v>46329</v>
      </c>
      <c r="C26" s="27" t="s">
        <v>73</v>
      </c>
      <c r="D26" s="21" t="s">
        <v>24</v>
      </c>
      <c r="E26" s="29" t="s">
        <v>87</v>
      </c>
      <c r="F26" s="21" t="s">
        <v>291</v>
      </c>
      <c r="G26" s="21" t="s">
        <v>292</v>
      </c>
      <c r="H26" s="21" t="s">
        <v>293</v>
      </c>
      <c r="I26" s="21" t="s">
        <v>294</v>
      </c>
      <c r="J26" s="21" t="s">
        <v>295</v>
      </c>
      <c r="K26" s="21" t="s">
        <v>296</v>
      </c>
      <c r="L26" s="21" t="s">
        <v>297</v>
      </c>
      <c r="M26" s="21" t="s">
        <v>95</v>
      </c>
      <c r="N26" s="22" t="s">
        <v>269</v>
      </c>
      <c r="O26" s="22" t="s">
        <v>298</v>
      </c>
      <c r="P26" s="21" t="s">
        <v>299</v>
      </c>
      <c r="Q26" s="23"/>
      <c r="R26" s="23"/>
      <c r="S26" s="23"/>
      <c r="T26" s="23"/>
      <c r="U26" s="23"/>
      <c r="V26" s="23"/>
      <c r="W26" s="24" t="str">
        <f aca="false">IF(Q26&gt;0,(R26+S26+T26)/Q26,"")</f>
        <v/>
      </c>
      <c r="X26" s="25"/>
    </row>
    <row r="27" customFormat="false" ht="259.5" hidden="false" customHeight="true" outlineLevel="0" collapsed="false">
      <c r="A27" s="29" t="n">
        <v>23</v>
      </c>
      <c r="B27" s="28" t="n">
        <f aca="false">設定・結論!$B$4+22</f>
        <v>46330</v>
      </c>
      <c r="C27" s="27" t="s">
        <v>73</v>
      </c>
      <c r="D27" s="21" t="s">
        <v>25</v>
      </c>
      <c r="E27" s="29" t="s">
        <v>110</v>
      </c>
      <c r="F27" s="21" t="s">
        <v>300</v>
      </c>
      <c r="G27" s="21" t="s">
        <v>301</v>
      </c>
      <c r="H27" s="21" t="s">
        <v>302</v>
      </c>
      <c r="I27" s="21" t="s">
        <v>303</v>
      </c>
      <c r="J27" s="21" t="s">
        <v>304</v>
      </c>
      <c r="K27" s="21" t="s">
        <v>305</v>
      </c>
      <c r="L27" s="21" t="s">
        <v>306</v>
      </c>
      <c r="M27" s="21" t="s">
        <v>95</v>
      </c>
      <c r="N27" s="22" t="s">
        <v>127</v>
      </c>
      <c r="O27" s="22" t="s">
        <v>307</v>
      </c>
      <c r="P27" s="21" t="s">
        <v>308</v>
      </c>
      <c r="Q27" s="23"/>
      <c r="R27" s="23"/>
      <c r="S27" s="23"/>
      <c r="T27" s="23"/>
      <c r="U27" s="23"/>
      <c r="V27" s="23"/>
      <c r="W27" s="24" t="str">
        <f aca="false">IF(Q27&gt;0,(R27+S27+T27)/Q27,"")</f>
        <v/>
      </c>
      <c r="X27" s="25"/>
    </row>
    <row r="28" customFormat="false" ht="259.5" hidden="false" customHeight="true" outlineLevel="0" collapsed="false">
      <c r="A28" s="29" t="n">
        <v>24</v>
      </c>
      <c r="B28" s="28" t="n">
        <f aca="false">設定・結論!$B$4+23</f>
        <v>46331</v>
      </c>
      <c r="C28" s="27" t="s">
        <v>240</v>
      </c>
      <c r="D28" s="21" t="s">
        <v>28</v>
      </c>
      <c r="E28" s="29" t="s">
        <v>110</v>
      </c>
      <c r="F28" s="21" t="s">
        <v>309</v>
      </c>
      <c r="G28" s="21" t="s">
        <v>310</v>
      </c>
      <c r="H28" s="21" t="s">
        <v>311</v>
      </c>
      <c r="I28" s="21" t="s">
        <v>312</v>
      </c>
      <c r="J28" s="21" t="s">
        <v>313</v>
      </c>
      <c r="K28" s="21" t="s">
        <v>314</v>
      </c>
      <c r="L28" s="21" t="s">
        <v>315</v>
      </c>
      <c r="M28" s="21" t="s">
        <v>316</v>
      </c>
      <c r="N28" s="22" t="s">
        <v>96</v>
      </c>
      <c r="O28" s="22" t="s">
        <v>317</v>
      </c>
      <c r="P28" s="21" t="s">
        <v>318</v>
      </c>
      <c r="Q28" s="23"/>
      <c r="R28" s="23"/>
      <c r="S28" s="23"/>
      <c r="T28" s="23"/>
      <c r="U28" s="23"/>
      <c r="V28" s="23"/>
      <c r="W28" s="24" t="str">
        <f aca="false">IF(Q28&gt;0,(R28+S28+T28)/Q28,"")</f>
        <v/>
      </c>
      <c r="X28" s="25"/>
    </row>
    <row r="29" customFormat="false" ht="259.5" hidden="false" customHeight="true" outlineLevel="0" collapsed="false">
      <c r="A29" s="29" t="n">
        <v>25</v>
      </c>
      <c r="B29" s="28" t="n">
        <f aca="false">設定・結論!$B$4+24</f>
        <v>46332</v>
      </c>
      <c r="C29" s="27" t="s">
        <v>73</v>
      </c>
      <c r="D29" s="21" t="s">
        <v>24</v>
      </c>
      <c r="E29" s="29" t="s">
        <v>110</v>
      </c>
      <c r="F29" s="21" t="s">
        <v>319</v>
      </c>
      <c r="G29" s="22" t="s">
        <v>320</v>
      </c>
      <c r="H29" s="21" t="s">
        <v>321</v>
      </c>
      <c r="I29" s="21" t="s">
        <v>322</v>
      </c>
      <c r="J29" s="22" t="s">
        <v>323</v>
      </c>
      <c r="K29" s="21" t="s">
        <v>324</v>
      </c>
      <c r="L29" s="21" t="s">
        <v>325</v>
      </c>
      <c r="M29" s="21" t="s">
        <v>95</v>
      </c>
      <c r="N29" s="22" t="s">
        <v>83</v>
      </c>
      <c r="O29" s="22" t="s">
        <v>326</v>
      </c>
      <c r="P29" s="21" t="s">
        <v>327</v>
      </c>
      <c r="Q29" s="23"/>
      <c r="R29" s="23"/>
      <c r="S29" s="23"/>
      <c r="T29" s="23"/>
      <c r="U29" s="23"/>
      <c r="V29" s="23"/>
      <c r="W29" s="24" t="str">
        <f aca="false">IF(Q29&gt;0,(R29+S29+T29)/Q29,"")</f>
        <v/>
      </c>
      <c r="X29" s="25"/>
    </row>
    <row r="30" customFormat="false" ht="259.5" hidden="false" customHeight="true" outlineLevel="0" collapsed="false">
      <c r="A30" s="29" t="n">
        <v>26</v>
      </c>
      <c r="B30" s="28" t="n">
        <f aca="false">設定・結論!$B$4+25</f>
        <v>46333</v>
      </c>
      <c r="C30" s="27" t="s">
        <v>130</v>
      </c>
      <c r="D30" s="21" t="s">
        <v>26</v>
      </c>
      <c r="E30" s="29" t="s">
        <v>87</v>
      </c>
      <c r="F30" s="21" t="s">
        <v>328</v>
      </c>
      <c r="G30" s="21" t="s">
        <v>329</v>
      </c>
      <c r="H30" s="21" t="s">
        <v>330</v>
      </c>
      <c r="I30" s="21" t="s">
        <v>331</v>
      </c>
      <c r="J30" s="21" t="s">
        <v>332</v>
      </c>
      <c r="K30" s="21" t="s">
        <v>333</v>
      </c>
      <c r="L30" s="21" t="s">
        <v>334</v>
      </c>
      <c r="M30" s="21" t="s">
        <v>335</v>
      </c>
      <c r="N30" s="22" t="s">
        <v>248</v>
      </c>
      <c r="O30" s="22" t="s">
        <v>336</v>
      </c>
      <c r="P30" s="21" t="s">
        <v>337</v>
      </c>
      <c r="Q30" s="23"/>
      <c r="R30" s="23"/>
      <c r="S30" s="23"/>
      <c r="T30" s="23"/>
      <c r="U30" s="23"/>
      <c r="V30" s="23"/>
      <c r="W30" s="24" t="str">
        <f aca="false">IF(Q30&gt;0,(R30+S30+T30)/Q30,"")</f>
        <v/>
      </c>
      <c r="X30" s="25"/>
    </row>
    <row r="31" customFormat="false" ht="259.5" hidden="false" customHeight="true" outlineLevel="0" collapsed="false">
      <c r="A31" s="29" t="n">
        <v>27</v>
      </c>
      <c r="B31" s="28" t="n">
        <f aca="false">設定・結論!$B$4+26</f>
        <v>46334</v>
      </c>
      <c r="C31" s="27" t="s">
        <v>73</v>
      </c>
      <c r="D31" s="21" t="s">
        <v>25</v>
      </c>
      <c r="E31" s="29" t="s">
        <v>110</v>
      </c>
      <c r="F31" s="21" t="s">
        <v>338</v>
      </c>
      <c r="G31" s="21" t="s">
        <v>339</v>
      </c>
      <c r="H31" s="21" t="s">
        <v>340</v>
      </c>
      <c r="I31" s="21" t="s">
        <v>341</v>
      </c>
      <c r="J31" s="21" t="s">
        <v>342</v>
      </c>
      <c r="K31" s="21" t="s">
        <v>343</v>
      </c>
      <c r="L31" s="21" t="s">
        <v>344</v>
      </c>
      <c r="M31" s="21" t="s">
        <v>95</v>
      </c>
      <c r="N31" s="22" t="s">
        <v>237</v>
      </c>
      <c r="O31" s="22" t="s">
        <v>345</v>
      </c>
      <c r="P31" s="21" t="s">
        <v>346</v>
      </c>
      <c r="Q31" s="23"/>
      <c r="R31" s="23"/>
      <c r="S31" s="23"/>
      <c r="T31" s="23"/>
      <c r="U31" s="23"/>
      <c r="V31" s="23"/>
      <c r="W31" s="24" t="str">
        <f aca="false">IF(Q31&gt;0,(R31+S31+T31)/Q31,"")</f>
        <v/>
      </c>
      <c r="X31" s="25"/>
    </row>
    <row r="32" customFormat="false" ht="259.5" hidden="false" customHeight="true" outlineLevel="0" collapsed="false">
      <c r="A32" s="29" t="n">
        <v>28</v>
      </c>
      <c r="B32" s="28" t="n">
        <f aca="false">設定・結論!$B$4+27</f>
        <v>46335</v>
      </c>
      <c r="C32" s="27" t="s">
        <v>73</v>
      </c>
      <c r="D32" s="21" t="s">
        <v>27</v>
      </c>
      <c r="E32" s="29" t="s">
        <v>87</v>
      </c>
      <c r="F32" s="21" t="s">
        <v>347</v>
      </c>
      <c r="G32" s="21" t="s">
        <v>348</v>
      </c>
      <c r="H32" s="21" t="s">
        <v>349</v>
      </c>
      <c r="I32" s="21" t="s">
        <v>350</v>
      </c>
      <c r="J32" s="21" t="s">
        <v>351</v>
      </c>
      <c r="K32" s="21" t="s">
        <v>352</v>
      </c>
      <c r="L32" s="21" t="s">
        <v>353</v>
      </c>
      <c r="M32" s="21" t="s">
        <v>354</v>
      </c>
      <c r="N32" s="22" t="s">
        <v>218</v>
      </c>
      <c r="O32" s="22" t="s">
        <v>355</v>
      </c>
      <c r="P32" s="21" t="s">
        <v>356</v>
      </c>
      <c r="Q32" s="23"/>
      <c r="R32" s="23"/>
      <c r="S32" s="23"/>
      <c r="T32" s="23"/>
      <c r="U32" s="23"/>
      <c r="V32" s="23"/>
      <c r="W32" s="24" t="str">
        <f aca="false">IF(Q32&gt;0,(R32+S32+T32)/Q32,"")</f>
        <v/>
      </c>
      <c r="X32" s="25"/>
    </row>
    <row r="33" customFormat="false" ht="259.5" hidden="false" customHeight="true" outlineLevel="0" collapsed="false">
      <c r="A33" s="29" t="n">
        <v>29</v>
      </c>
      <c r="B33" s="28" t="n">
        <f aca="false">設定・結論!$B$4+28</f>
        <v>46336</v>
      </c>
      <c r="C33" s="27" t="s">
        <v>73</v>
      </c>
      <c r="D33" s="21" t="s">
        <v>24</v>
      </c>
      <c r="E33" s="29" t="s">
        <v>110</v>
      </c>
      <c r="F33" s="21" t="s">
        <v>357</v>
      </c>
      <c r="G33" s="21" t="s">
        <v>358</v>
      </c>
      <c r="H33" s="21" t="s">
        <v>359</v>
      </c>
      <c r="I33" s="21" t="s">
        <v>360</v>
      </c>
      <c r="J33" s="21" t="s">
        <v>361</v>
      </c>
      <c r="K33" s="21" t="s">
        <v>362</v>
      </c>
      <c r="L33" s="21" t="s">
        <v>363</v>
      </c>
      <c r="M33" s="21" t="s">
        <v>95</v>
      </c>
      <c r="N33" s="22" t="s">
        <v>96</v>
      </c>
      <c r="O33" s="22" t="s">
        <v>364</v>
      </c>
      <c r="P33" s="21" t="s">
        <v>365</v>
      </c>
      <c r="Q33" s="23"/>
      <c r="R33" s="23"/>
      <c r="S33" s="23"/>
      <c r="T33" s="23"/>
      <c r="U33" s="23"/>
      <c r="V33" s="23"/>
      <c r="W33" s="24" t="str">
        <f aca="false">IF(Q33&gt;0,(R33+S33+T33)/Q33,"")</f>
        <v/>
      </c>
      <c r="X33" s="25"/>
    </row>
    <row r="34" customFormat="false" ht="259.5" hidden="false" customHeight="true" outlineLevel="0" collapsed="false">
      <c r="A34" s="29" t="n">
        <v>30</v>
      </c>
      <c r="B34" s="28" t="n">
        <f aca="false">設定・結論!$B$4+29</f>
        <v>46337</v>
      </c>
      <c r="C34" s="27" t="s">
        <v>73</v>
      </c>
      <c r="D34" s="21" t="s">
        <v>27</v>
      </c>
      <c r="E34" s="29" t="s">
        <v>110</v>
      </c>
      <c r="F34" s="22" t="s">
        <v>366</v>
      </c>
      <c r="G34" s="21" t="s">
        <v>367</v>
      </c>
      <c r="H34" s="21" t="s">
        <v>368</v>
      </c>
      <c r="I34" s="21" t="s">
        <v>369</v>
      </c>
      <c r="J34" s="21" t="s">
        <v>370</v>
      </c>
      <c r="K34" s="21" t="s">
        <v>371</v>
      </c>
      <c r="L34" s="21" t="s">
        <v>372</v>
      </c>
      <c r="M34" s="21" t="s">
        <v>373</v>
      </c>
      <c r="N34" s="22" t="s">
        <v>374</v>
      </c>
      <c r="O34" s="22" t="s">
        <v>375</v>
      </c>
      <c r="P34" s="21" t="s">
        <v>376</v>
      </c>
      <c r="Q34" s="23"/>
      <c r="R34" s="23"/>
      <c r="S34" s="23"/>
      <c r="T34" s="23"/>
      <c r="U34" s="23"/>
      <c r="V34" s="23"/>
      <c r="W34" s="24" t="str">
        <f aca="false">IF(Q34&gt;0,(R34+S34+T34)/Q34,"")</f>
        <v/>
      </c>
      <c r="X34" s="25"/>
    </row>
    <row r="36" customFormat="false" ht="15" hidden="false" customHeight="false" outlineLevel="0" collapsed="false">
      <c r="A36" s="2" t="s">
        <v>377</v>
      </c>
    </row>
    <row r="37" customFormat="false" ht="15" hidden="false" customHeight="false" outlineLevel="0" collapsed="false">
      <c r="A37" s="30" t="s">
        <v>378</v>
      </c>
    </row>
  </sheetData>
  <conditionalFormatting sqref="W5:W34">
    <cfRule type="cellIs" priority="2" operator="greaterThanOrEqual" aboveAverage="0" equalAverage="0" bottom="0" percent="0" rank="0" text="" dxfId="0">
      <formula>0.05</formula>
    </cfRule>
  </conditionalFormatting>
  <dataValidations count="1">
    <dataValidation allowBlank="true" errorStyle="stop" operator="between" showDropDown="false" showErrorMessage="false" showInputMessage="false" sqref="D5:D34" type="list">
      <formula1>"本音暴露,界隈への違和感,ノート実演,妄想への橋渡し,恋愛（依存）"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31" t="s">
        <v>379</v>
      </c>
    </row>
    <row r="2" customFormat="false" ht="15" hidden="false" customHeight="false" outlineLevel="0" collapsed="false">
      <c r="A2" s="2" t="s">
        <v>380</v>
      </c>
    </row>
    <row r="4" customFormat="false" ht="15" hidden="false" customHeight="false" outlineLevel="0" collapsed="false">
      <c r="A4" s="16" t="s">
        <v>65</v>
      </c>
      <c r="B4" s="16" t="s">
        <v>381</v>
      </c>
      <c r="C4" s="16" t="s">
        <v>382</v>
      </c>
      <c r="D4" s="16" t="s">
        <v>383</v>
      </c>
      <c r="E4" s="16" t="s">
        <v>384</v>
      </c>
    </row>
    <row r="5" customFormat="false" ht="26.85" hidden="false" customHeight="false" outlineLevel="0" collapsed="false">
      <c r="A5" s="22" t="s">
        <v>385</v>
      </c>
      <c r="B5" s="21" t="s">
        <v>386</v>
      </c>
      <c r="C5" s="21" t="s">
        <v>387</v>
      </c>
      <c r="D5" s="21" t="s">
        <v>388</v>
      </c>
      <c r="E5" s="21" t="s">
        <v>389</v>
      </c>
    </row>
    <row r="6" customFormat="false" ht="26.85" hidden="false" customHeight="false" outlineLevel="0" collapsed="false">
      <c r="A6" s="22" t="s">
        <v>83</v>
      </c>
      <c r="B6" s="21" t="s">
        <v>390</v>
      </c>
      <c r="C6" s="21" t="s">
        <v>391</v>
      </c>
      <c r="D6" s="21" t="s">
        <v>392</v>
      </c>
      <c r="E6" s="22" t="s">
        <v>393</v>
      </c>
    </row>
    <row r="7" customFormat="false" ht="26.85" hidden="false" customHeight="false" outlineLevel="0" collapsed="false">
      <c r="A7" s="22" t="s">
        <v>394</v>
      </c>
      <c r="B7" s="21" t="s">
        <v>395</v>
      </c>
      <c r="C7" s="21" t="s">
        <v>396</v>
      </c>
      <c r="D7" s="21" t="s">
        <v>397</v>
      </c>
      <c r="E7" s="22" t="s">
        <v>398</v>
      </c>
    </row>
    <row r="8" customFormat="false" ht="39.55" hidden="false" customHeight="false" outlineLevel="0" collapsed="false">
      <c r="A8" s="22" t="s">
        <v>159</v>
      </c>
      <c r="B8" s="21" t="s">
        <v>399</v>
      </c>
      <c r="C8" s="21" t="s">
        <v>400</v>
      </c>
      <c r="D8" s="21" t="s">
        <v>401</v>
      </c>
      <c r="E8" s="22" t="s">
        <v>402</v>
      </c>
    </row>
    <row r="9" customFormat="false" ht="39.55" hidden="false" customHeight="false" outlineLevel="0" collapsed="false">
      <c r="A9" s="22" t="s">
        <v>269</v>
      </c>
      <c r="B9" s="21" t="s">
        <v>403</v>
      </c>
      <c r="C9" s="21" t="s">
        <v>404</v>
      </c>
      <c r="D9" s="21" t="s">
        <v>405</v>
      </c>
      <c r="E9" s="22" t="s">
        <v>406</v>
      </c>
    </row>
    <row r="10" customFormat="false" ht="26.85" hidden="false" customHeight="false" outlineLevel="0" collapsed="false">
      <c r="A10" s="22" t="s">
        <v>407</v>
      </c>
      <c r="B10" s="21" t="s">
        <v>408</v>
      </c>
      <c r="C10" s="21" t="s">
        <v>409</v>
      </c>
      <c r="D10" s="21" t="s">
        <v>190</v>
      </c>
      <c r="E10" s="22" t="s">
        <v>410</v>
      </c>
    </row>
    <row r="11" customFormat="false" ht="26.85" hidden="false" customHeight="false" outlineLevel="0" collapsed="false">
      <c r="A11" s="22" t="s">
        <v>237</v>
      </c>
      <c r="B11" s="21" t="s">
        <v>411</v>
      </c>
      <c r="C11" s="21" t="s">
        <v>412</v>
      </c>
      <c r="D11" s="21" t="s">
        <v>413</v>
      </c>
      <c r="E11" s="22" t="s">
        <v>414</v>
      </c>
    </row>
    <row r="12" customFormat="false" ht="39.55" hidden="false" customHeight="false" outlineLevel="0" collapsed="false">
      <c r="A12" s="22" t="s">
        <v>127</v>
      </c>
      <c r="B12" s="21" t="s">
        <v>415</v>
      </c>
      <c r="C12" s="21" t="s">
        <v>416</v>
      </c>
      <c r="D12" s="21" t="s">
        <v>417</v>
      </c>
      <c r="E12" s="22" t="s">
        <v>418</v>
      </c>
    </row>
    <row r="14" customFormat="false" ht="15" hidden="false" customHeight="false" outlineLevel="0" collapsed="false">
      <c r="A14" s="5" t="s">
        <v>419</v>
      </c>
    </row>
    <row r="15" customFormat="false" ht="15" hidden="false" customHeight="false" outlineLevel="0" collapsed="false">
      <c r="A15" s="16" t="s">
        <v>420</v>
      </c>
      <c r="B15" s="16" t="s">
        <v>421</v>
      </c>
      <c r="C15" s="16" t="s">
        <v>422</v>
      </c>
    </row>
    <row r="16" customFormat="false" ht="26.85" hidden="false" customHeight="false" outlineLevel="0" collapsed="false">
      <c r="A16" s="21" t="s">
        <v>423</v>
      </c>
      <c r="B16" s="21" t="s">
        <v>424</v>
      </c>
      <c r="C16" s="21" t="s">
        <v>425</v>
      </c>
    </row>
    <row r="17" customFormat="false" ht="26.85" hidden="false" customHeight="false" outlineLevel="0" collapsed="false">
      <c r="A17" s="21" t="s">
        <v>426</v>
      </c>
      <c r="B17" s="21" t="s">
        <v>427</v>
      </c>
      <c r="C17" s="21" t="s">
        <v>428</v>
      </c>
    </row>
    <row r="18" customFormat="false" ht="26.85" hidden="false" customHeight="false" outlineLevel="0" collapsed="false">
      <c r="A18" s="21" t="s">
        <v>429</v>
      </c>
      <c r="B18" s="21" t="s">
        <v>430</v>
      </c>
      <c r="C18" s="21" t="s">
        <v>431</v>
      </c>
    </row>
    <row r="19" customFormat="false" ht="26.85" hidden="false" customHeight="false" outlineLevel="0" collapsed="false">
      <c r="A19" s="21" t="s">
        <v>432</v>
      </c>
      <c r="B19" s="21" t="s">
        <v>433</v>
      </c>
      <c r="C19" s="21" t="s">
        <v>434</v>
      </c>
    </row>
    <row r="20" customFormat="false" ht="26.85" hidden="false" customHeight="false" outlineLevel="0" collapsed="false">
      <c r="A20" s="21" t="s">
        <v>435</v>
      </c>
      <c r="B20" s="21" t="s">
        <v>436</v>
      </c>
      <c r="C20" s="21" t="s">
        <v>437</v>
      </c>
    </row>
    <row r="21" customFormat="false" ht="26.85" hidden="false" customHeight="false" outlineLevel="0" collapsed="false">
      <c r="A21" s="21" t="s">
        <v>438</v>
      </c>
      <c r="B21" s="21" t="s">
        <v>439</v>
      </c>
      <c r="C21" s="21" t="s">
        <v>440</v>
      </c>
    </row>
    <row r="22" customFormat="false" ht="26.85" hidden="false" customHeight="false" outlineLevel="0" collapsed="false">
      <c r="A22" s="22" t="s">
        <v>441</v>
      </c>
      <c r="B22" s="21" t="s">
        <v>442</v>
      </c>
      <c r="C22" s="21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5" min="4" style="0" width="10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31" t="s">
        <v>444</v>
      </c>
    </row>
    <row r="2" customFormat="false" ht="15" hidden="false" customHeight="false" outlineLevel="0" collapsed="false">
      <c r="A2" s="30" t="s">
        <v>445</v>
      </c>
    </row>
    <row r="4" customFormat="false" ht="16.4" hidden="false" customHeight="false" outlineLevel="0" collapsed="false">
      <c r="A4" s="5" t="s">
        <v>446</v>
      </c>
    </row>
    <row r="5" customFormat="false" ht="15" hidden="false" customHeight="false" outlineLevel="0" collapsed="false">
      <c r="A5" s="16" t="s">
        <v>447</v>
      </c>
      <c r="B5" s="16" t="s">
        <v>448</v>
      </c>
      <c r="C5" s="16" t="s">
        <v>449</v>
      </c>
      <c r="D5" s="16" t="s">
        <v>68</v>
      </c>
      <c r="E5" s="16" t="s">
        <v>450</v>
      </c>
      <c r="F5" s="16" t="s">
        <v>451</v>
      </c>
    </row>
    <row r="6" customFormat="false" ht="15" hidden="false" customHeight="false" outlineLevel="0" collapsed="false">
      <c r="A6" s="29" t="n">
        <v>1</v>
      </c>
      <c r="B6" s="29" t="s">
        <v>452</v>
      </c>
      <c r="C6" s="21" t="s">
        <v>453</v>
      </c>
      <c r="D6" s="32" t="n">
        <v>1137</v>
      </c>
      <c r="E6" s="29" t="s">
        <v>454</v>
      </c>
      <c r="F6" s="21" t="s">
        <v>455</v>
      </c>
    </row>
    <row r="7" customFormat="false" ht="15" hidden="false" customHeight="false" outlineLevel="0" collapsed="false">
      <c r="A7" s="29" t="n">
        <v>2</v>
      </c>
      <c r="B7" s="29" t="s">
        <v>452</v>
      </c>
      <c r="C7" s="21" t="s">
        <v>456</v>
      </c>
      <c r="D7" s="32" t="n">
        <v>728</v>
      </c>
      <c r="E7" s="29" t="s">
        <v>454</v>
      </c>
      <c r="F7" s="21" t="s">
        <v>457</v>
      </c>
    </row>
    <row r="8" customFormat="false" ht="15" hidden="false" customHeight="false" outlineLevel="0" collapsed="false">
      <c r="A8" s="29" t="n">
        <v>3</v>
      </c>
      <c r="B8" s="29" t="s">
        <v>452</v>
      </c>
      <c r="C8" s="21" t="s">
        <v>458</v>
      </c>
      <c r="D8" s="32" t="n">
        <v>356</v>
      </c>
      <c r="E8" s="29" t="s">
        <v>459</v>
      </c>
      <c r="F8" s="22" t="s">
        <v>460</v>
      </c>
    </row>
    <row r="9" customFormat="false" ht="15" hidden="false" customHeight="false" outlineLevel="0" collapsed="false">
      <c r="A9" s="29" t="n">
        <v>4</v>
      </c>
      <c r="B9" s="29" t="s">
        <v>452</v>
      </c>
      <c r="C9" s="21" t="s">
        <v>461</v>
      </c>
      <c r="D9" s="32" t="n">
        <v>193</v>
      </c>
      <c r="E9" s="29" t="s">
        <v>462</v>
      </c>
      <c r="F9" s="21" t="s">
        <v>463</v>
      </c>
    </row>
    <row r="10" customFormat="false" ht="15" hidden="false" customHeight="false" outlineLevel="0" collapsed="false">
      <c r="A10" s="29" t="n">
        <v>5</v>
      </c>
      <c r="B10" s="29" t="s">
        <v>452</v>
      </c>
      <c r="C10" s="21" t="s">
        <v>464</v>
      </c>
      <c r="D10" s="32" t="n">
        <v>182</v>
      </c>
      <c r="E10" s="29" t="s">
        <v>465</v>
      </c>
      <c r="F10" s="21" t="s">
        <v>466</v>
      </c>
    </row>
    <row r="11" customFormat="false" ht="15" hidden="false" customHeight="false" outlineLevel="0" collapsed="false">
      <c r="A11" s="29" t="n">
        <v>6</v>
      </c>
      <c r="B11" s="29" t="s">
        <v>452</v>
      </c>
      <c r="C11" s="21" t="s">
        <v>467</v>
      </c>
      <c r="D11" s="32" t="n">
        <v>152</v>
      </c>
      <c r="E11" s="29" t="s">
        <v>465</v>
      </c>
      <c r="F11" s="21" t="s">
        <v>468</v>
      </c>
    </row>
    <row r="12" customFormat="false" ht="26.85" hidden="false" customHeight="false" outlineLevel="0" collapsed="false">
      <c r="A12" s="29" t="s">
        <v>469</v>
      </c>
      <c r="B12" s="29" t="s">
        <v>470</v>
      </c>
      <c r="C12" s="21" t="s">
        <v>471</v>
      </c>
      <c r="D12" s="32" t="n">
        <v>1511</v>
      </c>
      <c r="E12" s="29" t="s">
        <v>454</v>
      </c>
      <c r="F12" s="21" t="s">
        <v>472</v>
      </c>
    </row>
    <row r="14" customFormat="false" ht="15" hidden="false" customHeight="false" outlineLevel="0" collapsed="false">
      <c r="A14" s="5" t="s">
        <v>473</v>
      </c>
    </row>
    <row r="15" customFormat="false" ht="15" hidden="false" customHeight="false" outlineLevel="0" collapsed="false">
      <c r="A15" s="16" t="s">
        <v>474</v>
      </c>
      <c r="B15" s="16" t="s">
        <v>57</v>
      </c>
      <c r="C15" s="16" t="s">
        <v>475</v>
      </c>
    </row>
    <row r="16" customFormat="false" ht="26.85" hidden="false" customHeight="false" outlineLevel="0" collapsed="false">
      <c r="A16" s="29" t="s">
        <v>476</v>
      </c>
      <c r="B16" s="21" t="s">
        <v>477</v>
      </c>
      <c r="C16" s="21" t="s">
        <v>478</v>
      </c>
    </row>
    <row r="17" customFormat="false" ht="26.85" hidden="false" customHeight="false" outlineLevel="0" collapsed="false">
      <c r="A17" s="29" t="s">
        <v>476</v>
      </c>
      <c r="B17" s="21" t="s">
        <v>479</v>
      </c>
      <c r="C17" s="21" t="s">
        <v>480</v>
      </c>
    </row>
    <row r="18" customFormat="false" ht="26.85" hidden="false" customHeight="false" outlineLevel="0" collapsed="false">
      <c r="A18" s="29" t="s">
        <v>476</v>
      </c>
      <c r="B18" s="21" t="s">
        <v>481</v>
      </c>
      <c r="C18" s="21" t="s">
        <v>482</v>
      </c>
    </row>
    <row r="19" customFormat="false" ht="26.85" hidden="false" customHeight="false" outlineLevel="0" collapsed="false">
      <c r="A19" s="29" t="s">
        <v>476</v>
      </c>
      <c r="B19" s="21" t="s">
        <v>483</v>
      </c>
      <c r="C19" s="21" t="s">
        <v>484</v>
      </c>
    </row>
    <row r="20" customFormat="false" ht="26.85" hidden="false" customHeight="false" outlineLevel="0" collapsed="false">
      <c r="A20" s="29" t="s">
        <v>476</v>
      </c>
      <c r="B20" s="21" t="s">
        <v>485</v>
      </c>
      <c r="C20" s="21" t="s">
        <v>486</v>
      </c>
    </row>
    <row r="21" customFormat="false" ht="15" hidden="false" customHeight="false" outlineLevel="0" collapsed="false">
      <c r="A21" s="29" t="s">
        <v>465</v>
      </c>
      <c r="B21" s="21" t="s">
        <v>487</v>
      </c>
      <c r="C21" s="21" t="s">
        <v>488</v>
      </c>
    </row>
    <row r="22" customFormat="false" ht="15" hidden="false" customHeight="false" outlineLevel="0" collapsed="false">
      <c r="A22" s="29" t="s">
        <v>465</v>
      </c>
      <c r="B22" s="21" t="s">
        <v>489</v>
      </c>
      <c r="C22" s="21" t="s">
        <v>490</v>
      </c>
    </row>
    <row r="23" customFormat="false" ht="15" hidden="false" customHeight="false" outlineLevel="0" collapsed="false">
      <c r="A23" s="29" t="s">
        <v>465</v>
      </c>
      <c r="B23" s="21" t="s">
        <v>491</v>
      </c>
      <c r="C23" s="21" t="s">
        <v>492</v>
      </c>
    </row>
    <row r="24" customFormat="false" ht="15" hidden="false" customHeight="false" outlineLevel="0" collapsed="false">
      <c r="A24" s="29" t="s">
        <v>465</v>
      </c>
      <c r="B24" s="21" t="s">
        <v>493</v>
      </c>
      <c r="C24" s="21" t="s">
        <v>494</v>
      </c>
    </row>
    <row r="25" customFormat="false" ht="15" hidden="false" customHeight="false" outlineLevel="0" collapsed="false">
      <c r="A25" s="29" t="s">
        <v>465</v>
      </c>
      <c r="B25" s="21" t="s">
        <v>495</v>
      </c>
      <c r="C25" s="21" t="s">
        <v>496</v>
      </c>
    </row>
    <row r="27" customFormat="false" ht="15" hidden="false" customHeight="false" outlineLevel="0" collapsed="false">
      <c r="A27" s="5" t="s">
        <v>497</v>
      </c>
    </row>
    <row r="28" customFormat="false" ht="15" hidden="false" customHeight="false" outlineLevel="0" collapsed="false">
      <c r="A28" s="15" t="s">
        <v>498</v>
      </c>
      <c r="B28" s="16" t="s">
        <v>499</v>
      </c>
      <c r="C28" s="16" t="s">
        <v>500</v>
      </c>
    </row>
    <row r="29" customFormat="false" ht="26.85" hidden="false" customHeight="false" outlineLevel="0" collapsed="false">
      <c r="A29" s="29" t="n">
        <v>1</v>
      </c>
      <c r="B29" s="21" t="s">
        <v>501</v>
      </c>
      <c r="C29" s="21" t="s">
        <v>502</v>
      </c>
    </row>
    <row r="30" customFormat="false" ht="15" hidden="false" customHeight="false" outlineLevel="0" collapsed="false">
      <c r="A30" s="29" t="n">
        <v>2</v>
      </c>
      <c r="B30" s="21" t="s">
        <v>503</v>
      </c>
      <c r="C30" s="21" t="s">
        <v>504</v>
      </c>
    </row>
    <row r="31" customFormat="false" ht="15" hidden="false" customHeight="false" outlineLevel="0" collapsed="false">
      <c r="A31" s="29" t="n">
        <v>3</v>
      </c>
      <c r="B31" s="21" t="s">
        <v>505</v>
      </c>
      <c r="C31" s="22" t="s">
        <v>506</v>
      </c>
    </row>
    <row r="32" customFormat="false" ht="15" hidden="false" customHeight="false" outlineLevel="0" collapsed="false">
      <c r="A32" s="29" t="n">
        <v>4</v>
      </c>
      <c r="B32" s="21" t="s">
        <v>507</v>
      </c>
      <c r="C32" s="21" t="s">
        <v>508</v>
      </c>
    </row>
    <row r="33" customFormat="false" ht="15" hidden="false" customHeight="false" outlineLevel="0" collapsed="false">
      <c r="A33" s="29" t="n">
        <v>5</v>
      </c>
      <c r="B33" s="22" t="s">
        <v>509</v>
      </c>
      <c r="C33" s="21" t="s">
        <v>510</v>
      </c>
    </row>
    <row r="34" customFormat="false" ht="15" hidden="false" customHeight="false" outlineLevel="0" collapsed="false">
      <c r="A34" s="29" t="n">
        <v>6</v>
      </c>
      <c r="B34" s="21" t="s">
        <v>511</v>
      </c>
      <c r="C34" s="21" t="s">
        <v>512</v>
      </c>
    </row>
    <row r="35" customFormat="false" ht="26.85" hidden="false" customHeight="false" outlineLevel="0" collapsed="false">
      <c r="A35" s="29" t="n">
        <v>7</v>
      </c>
      <c r="B35" s="21" t="s">
        <v>513</v>
      </c>
      <c r="C35" s="21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46"/>
    <col collapsed="false" customWidth="true" hidden="false" outlineLevel="0" max="8" min="8" style="0" width="44"/>
    <col collapsed="false" customWidth="true" hidden="false" outlineLevel="0" max="9" min="9" style="0" width="9"/>
  </cols>
  <sheetData>
    <row r="1" customFormat="false" ht="19.4" hidden="false" customHeight="false" outlineLevel="0" collapsed="false">
      <c r="A1" s="31" t="s">
        <v>515</v>
      </c>
    </row>
    <row r="2" customFormat="false" ht="15" hidden="false" customHeight="false" outlineLevel="0" collapsed="false">
      <c r="A2" s="2" t="s">
        <v>516</v>
      </c>
    </row>
    <row r="4" customFormat="false" ht="15" hidden="false" customHeight="false" outlineLevel="0" collapsed="false">
      <c r="A4" s="16" t="s">
        <v>448</v>
      </c>
      <c r="B4" s="16" t="s">
        <v>68</v>
      </c>
      <c r="C4" s="16" t="s">
        <v>69</v>
      </c>
      <c r="D4" s="16" t="s">
        <v>517</v>
      </c>
      <c r="E4" s="16" t="s">
        <v>57</v>
      </c>
      <c r="F4" s="16" t="s">
        <v>449</v>
      </c>
      <c r="G4" s="16" t="s">
        <v>65</v>
      </c>
      <c r="H4" s="15" t="s">
        <v>518</v>
      </c>
      <c r="I4" s="16" t="s">
        <v>519</v>
      </c>
    </row>
    <row r="5" customFormat="false" ht="26.85" hidden="false" customHeight="false" outlineLevel="0" collapsed="false">
      <c r="A5" s="22" t="s">
        <v>520</v>
      </c>
      <c r="B5" s="32" t="n">
        <v>425098</v>
      </c>
      <c r="C5" s="32" t="n">
        <v>759</v>
      </c>
      <c r="D5" s="32" t="n">
        <v>7</v>
      </c>
      <c r="E5" s="21" t="s">
        <v>521</v>
      </c>
      <c r="F5" s="21" t="s">
        <v>522</v>
      </c>
      <c r="G5" s="21" t="s">
        <v>523</v>
      </c>
      <c r="H5" s="22" t="s">
        <v>524</v>
      </c>
      <c r="I5" s="33" t="n">
        <f aca="false">IFERROR(C5/B5,0)</f>
        <v>0.00178547064441611</v>
      </c>
    </row>
    <row r="6" customFormat="false" ht="23.85" hidden="false" customHeight="false" outlineLevel="0" collapsed="false">
      <c r="A6" s="22" t="s">
        <v>525</v>
      </c>
      <c r="B6" s="32" t="n">
        <v>322106</v>
      </c>
      <c r="C6" s="32" t="n">
        <v>2445</v>
      </c>
      <c r="D6" s="32" t="n">
        <v>16</v>
      </c>
      <c r="E6" s="21" t="s">
        <v>526</v>
      </c>
      <c r="F6" s="21" t="s">
        <v>527</v>
      </c>
      <c r="G6" s="21" t="s">
        <v>528</v>
      </c>
      <c r="H6" s="22" t="s">
        <v>529</v>
      </c>
      <c r="I6" s="33" t="n">
        <f aca="false">IFERROR(C6/B6,0)</f>
        <v>0.00759066891023452</v>
      </c>
    </row>
    <row r="7" customFormat="false" ht="26.85" hidden="false" customHeight="false" outlineLevel="0" collapsed="false">
      <c r="A7" s="22" t="s">
        <v>530</v>
      </c>
      <c r="B7" s="32" t="n">
        <v>275597</v>
      </c>
      <c r="C7" s="32" t="n">
        <v>2853</v>
      </c>
      <c r="D7" s="32" t="n">
        <v>47</v>
      </c>
      <c r="E7" s="21" t="s">
        <v>531</v>
      </c>
      <c r="F7" s="22" t="s">
        <v>532</v>
      </c>
      <c r="G7" s="21" t="s">
        <v>533</v>
      </c>
      <c r="H7" s="22" t="s">
        <v>534</v>
      </c>
      <c r="I7" s="33" t="n">
        <f aca="false">IFERROR(C7/B7,0)</f>
        <v>0.0103520720472284</v>
      </c>
    </row>
    <row r="8" customFormat="false" ht="26.85" hidden="false" customHeight="false" outlineLevel="0" collapsed="false">
      <c r="A8" s="22" t="s">
        <v>535</v>
      </c>
      <c r="B8" s="32" t="n">
        <v>203554</v>
      </c>
      <c r="C8" s="32" t="n">
        <v>2065</v>
      </c>
      <c r="D8" s="32" t="n">
        <v>51</v>
      </c>
      <c r="E8" s="21" t="s">
        <v>536</v>
      </c>
      <c r="F8" s="21" t="s">
        <v>537</v>
      </c>
      <c r="G8" s="21" t="s">
        <v>538</v>
      </c>
      <c r="H8" s="22" t="s">
        <v>539</v>
      </c>
      <c r="I8" s="33" t="n">
        <f aca="false">IFERROR(C8/B8,0)</f>
        <v>0.0101447281802372</v>
      </c>
    </row>
    <row r="9" customFormat="false" ht="26.85" hidden="false" customHeight="false" outlineLevel="0" collapsed="false">
      <c r="A9" s="22" t="s">
        <v>540</v>
      </c>
      <c r="B9" s="32" t="n">
        <v>181108</v>
      </c>
      <c r="C9" s="32" t="n">
        <v>2287</v>
      </c>
      <c r="D9" s="32" t="n">
        <v>102</v>
      </c>
      <c r="E9" s="21" t="s">
        <v>541</v>
      </c>
      <c r="F9" s="21" t="s">
        <v>542</v>
      </c>
      <c r="G9" s="21" t="s">
        <v>543</v>
      </c>
      <c r="H9" s="22" t="s">
        <v>544</v>
      </c>
      <c r="I9" s="33" t="n">
        <f aca="false">IFERROR(C9/B9,0)</f>
        <v>0.0126278242816441</v>
      </c>
    </row>
    <row r="10" customFormat="false" ht="26.85" hidden="false" customHeight="false" outlineLevel="0" collapsed="false">
      <c r="A10" s="22" t="s">
        <v>545</v>
      </c>
      <c r="B10" s="32" t="n">
        <v>150855</v>
      </c>
      <c r="C10" s="32" t="n">
        <v>455</v>
      </c>
      <c r="D10" s="32" t="n">
        <v>4</v>
      </c>
      <c r="E10" s="21" t="s">
        <v>546</v>
      </c>
      <c r="F10" s="21" t="s">
        <v>547</v>
      </c>
      <c r="G10" s="21" t="s">
        <v>548</v>
      </c>
      <c r="H10" s="22" t="s">
        <v>549</v>
      </c>
      <c r="I10" s="33" t="n">
        <f aca="false">IFERROR(C10/B10,0)</f>
        <v>0.00301614132776507</v>
      </c>
    </row>
    <row r="11" customFormat="false" ht="23.85" hidden="false" customHeight="false" outlineLevel="0" collapsed="false">
      <c r="A11" s="22" t="s">
        <v>550</v>
      </c>
      <c r="B11" s="32" t="n">
        <v>125641</v>
      </c>
      <c r="C11" s="32" t="n">
        <v>2481</v>
      </c>
      <c r="D11" s="32" t="n">
        <v>12</v>
      </c>
      <c r="E11" s="21" t="s">
        <v>551</v>
      </c>
      <c r="F11" s="21" t="s">
        <v>552</v>
      </c>
      <c r="G11" s="21" t="s">
        <v>553</v>
      </c>
      <c r="H11" s="22" t="s">
        <v>554</v>
      </c>
      <c r="I11" s="33" t="n">
        <f aca="false">IFERROR(C11/B11,0)</f>
        <v>0.0197467387238242</v>
      </c>
    </row>
    <row r="12" customFormat="false" ht="26.85" hidden="false" customHeight="false" outlineLevel="0" collapsed="false">
      <c r="A12" s="22" t="s">
        <v>555</v>
      </c>
      <c r="B12" s="32" t="n">
        <v>121845</v>
      </c>
      <c r="C12" s="32" t="n">
        <v>3053</v>
      </c>
      <c r="D12" s="32" t="n">
        <v>55</v>
      </c>
      <c r="E12" s="21" t="s">
        <v>556</v>
      </c>
      <c r="F12" s="21" t="s">
        <v>557</v>
      </c>
      <c r="G12" s="21" t="s">
        <v>558</v>
      </c>
      <c r="H12" s="22" t="s">
        <v>559</v>
      </c>
      <c r="I12" s="33" t="n">
        <f aca="false">IFERROR(C12/B12,0)</f>
        <v>0.0250564241454307</v>
      </c>
    </row>
    <row r="13" customFormat="false" ht="23.85" hidden="false" customHeight="false" outlineLevel="0" collapsed="false">
      <c r="A13" s="22" t="s">
        <v>560</v>
      </c>
      <c r="B13" s="32" t="n">
        <v>109121</v>
      </c>
      <c r="C13" s="32" t="n">
        <v>239</v>
      </c>
      <c r="D13" s="32" t="n">
        <v>2</v>
      </c>
      <c r="E13" s="21" t="s">
        <v>561</v>
      </c>
      <c r="F13" s="21" t="s">
        <v>562</v>
      </c>
      <c r="G13" s="21" t="s">
        <v>563</v>
      </c>
      <c r="H13" s="22" t="s">
        <v>564</v>
      </c>
      <c r="I13" s="33" t="n">
        <f aca="false">IFERROR(C13/B13,0)</f>
        <v>0.00219022919511368</v>
      </c>
    </row>
    <row r="14" customFormat="false" ht="26.85" hidden="false" customHeight="false" outlineLevel="0" collapsed="false">
      <c r="A14" s="22" t="s">
        <v>565</v>
      </c>
      <c r="B14" s="32" t="n">
        <v>59821</v>
      </c>
      <c r="C14" s="32" t="n">
        <v>1324</v>
      </c>
      <c r="D14" s="32" t="n">
        <v>31</v>
      </c>
      <c r="E14" s="21" t="s">
        <v>566</v>
      </c>
      <c r="F14" s="21" t="s">
        <v>567</v>
      </c>
      <c r="G14" s="21" t="s">
        <v>568</v>
      </c>
      <c r="H14" s="22" t="s">
        <v>569</v>
      </c>
      <c r="I14" s="33" t="n">
        <f aca="false">IFERROR(C14/B14,0)</f>
        <v>0.0221326958760302</v>
      </c>
    </row>
    <row r="15" customFormat="false" ht="26.85" hidden="false" customHeight="false" outlineLevel="0" collapsed="false">
      <c r="A15" s="22" t="s">
        <v>570</v>
      </c>
      <c r="B15" s="32" t="n">
        <v>42221</v>
      </c>
      <c r="C15" s="32" t="n">
        <v>303</v>
      </c>
      <c r="D15" s="32" t="n">
        <v>18</v>
      </c>
      <c r="E15" s="21" t="s">
        <v>571</v>
      </c>
      <c r="F15" s="21" t="s">
        <v>572</v>
      </c>
      <c r="G15" s="21" t="s">
        <v>573</v>
      </c>
      <c r="H15" s="22" t="s">
        <v>574</v>
      </c>
      <c r="I15" s="33" t="n">
        <f aca="false">IFERROR(C15/B15,0)</f>
        <v>0.00717652353094432</v>
      </c>
    </row>
    <row r="16" customFormat="false" ht="23.85" hidden="false" customHeight="false" outlineLevel="0" collapsed="false">
      <c r="A16" s="22" t="s">
        <v>575</v>
      </c>
      <c r="B16" s="32" t="n">
        <v>31054</v>
      </c>
      <c r="C16" s="32" t="n">
        <v>151</v>
      </c>
      <c r="D16" s="32" t="n">
        <v>29</v>
      </c>
      <c r="E16" s="21" t="s">
        <v>576</v>
      </c>
      <c r="F16" s="21" t="s">
        <v>577</v>
      </c>
      <c r="G16" s="21" t="s">
        <v>578</v>
      </c>
      <c r="H16" s="22" t="s">
        <v>579</v>
      </c>
      <c r="I16" s="33" t="n">
        <f aca="false">IFERROR(C16/B16,0)</f>
        <v>0.00486249758485219</v>
      </c>
    </row>
    <row r="18" customFormat="false" ht="15" hidden="false" customHeight="false" outlineLevel="0" collapsed="false">
      <c r="A18" s="5" t="s">
        <v>580</v>
      </c>
    </row>
    <row r="19" customFormat="false" ht="15" hidden="false" customHeight="false" outlineLevel="0" collapsed="false">
      <c r="A19" s="15" t="s">
        <v>498</v>
      </c>
      <c r="B19" s="16" t="s">
        <v>581</v>
      </c>
      <c r="C19" s="16" t="s">
        <v>422</v>
      </c>
    </row>
    <row r="20" customFormat="false" ht="26.85" hidden="false" customHeight="false" outlineLevel="0" collapsed="false">
      <c r="A20" s="21" t="n">
        <v>1</v>
      </c>
      <c r="B20" s="21" t="s">
        <v>582</v>
      </c>
      <c r="C20" s="21" t="s">
        <v>583</v>
      </c>
    </row>
    <row r="21" customFormat="false" ht="26.85" hidden="false" customHeight="false" outlineLevel="0" collapsed="false">
      <c r="A21" s="21" t="n">
        <v>2</v>
      </c>
      <c r="B21" s="21" t="s">
        <v>584</v>
      </c>
      <c r="C21" s="21" t="s">
        <v>585</v>
      </c>
    </row>
    <row r="22" customFormat="false" ht="26.85" hidden="false" customHeight="false" outlineLevel="0" collapsed="false">
      <c r="A22" s="21" t="n">
        <v>3</v>
      </c>
      <c r="B22" s="21" t="s">
        <v>586</v>
      </c>
      <c r="C22" s="21" t="s">
        <v>587</v>
      </c>
    </row>
    <row r="23" customFormat="false" ht="26.85" hidden="false" customHeight="false" outlineLevel="0" collapsed="false">
      <c r="A23" s="21" t="n">
        <v>4</v>
      </c>
      <c r="B23" s="21" t="s">
        <v>588</v>
      </c>
      <c r="C23" s="21" t="s">
        <v>589</v>
      </c>
    </row>
    <row r="24" customFormat="false" ht="26.85" hidden="false" customHeight="false" outlineLevel="0" collapsed="false">
      <c r="A24" s="21" t="n">
        <v>5</v>
      </c>
      <c r="B24" s="21" t="s">
        <v>590</v>
      </c>
      <c r="C24" s="21" t="s">
        <v>591</v>
      </c>
    </row>
    <row r="26" customFormat="false" ht="15" hidden="false" customHeight="false" outlineLevel="0" collapsed="false">
      <c r="A26" s="5" t="s">
        <v>592</v>
      </c>
    </row>
    <row r="27" customFormat="false" ht="15" hidden="false" customHeight="false" outlineLevel="0" collapsed="false">
      <c r="A27" s="16" t="s">
        <v>474</v>
      </c>
      <c r="B27" s="16" t="s">
        <v>593</v>
      </c>
    </row>
    <row r="28" customFormat="false" ht="115.65" hidden="false" customHeight="false" outlineLevel="0" collapsed="false">
      <c r="A28" s="21" t="s">
        <v>594</v>
      </c>
      <c r="B28" s="21" t="s">
        <v>595</v>
      </c>
    </row>
    <row r="29" customFormat="false" ht="191.75" hidden="false" customHeight="false" outlineLevel="0" collapsed="false">
      <c r="A29" s="21" t="s">
        <v>596</v>
      </c>
      <c r="B29" s="21" t="s">
        <v>597</v>
      </c>
    </row>
    <row r="30" customFormat="false" ht="191.75" hidden="false" customHeight="false" outlineLevel="0" collapsed="false">
      <c r="A30" s="21" t="s">
        <v>598</v>
      </c>
      <c r="B30" s="21" t="s">
        <v>599</v>
      </c>
    </row>
    <row r="31" customFormat="false" ht="115.65" hidden="false" customHeight="false" outlineLevel="0" collapsed="false">
      <c r="A31" s="21" t="s">
        <v>600</v>
      </c>
      <c r="B31" s="22" t="s">
        <v>601</v>
      </c>
    </row>
    <row r="33" customFormat="false" ht="16.4" hidden="false" customHeight="false" outlineLevel="0" collapsed="false">
      <c r="A33" s="5" t="s">
        <v>602</v>
      </c>
    </row>
    <row r="34" customFormat="false" ht="15" hidden="false" customHeight="false" outlineLevel="0" collapsed="false">
      <c r="A34" s="16" t="s">
        <v>603</v>
      </c>
      <c r="B34" s="16" t="s">
        <v>604</v>
      </c>
      <c r="C34" s="16" t="s">
        <v>605</v>
      </c>
      <c r="D34" s="16" t="s">
        <v>606</v>
      </c>
    </row>
    <row r="35" customFormat="false" ht="26.85" hidden="false" customHeight="false" outlineLevel="0" collapsed="false">
      <c r="A35" s="22" t="s">
        <v>565</v>
      </c>
      <c r="B35" s="22" t="s">
        <v>607</v>
      </c>
      <c r="C35" s="21" t="s">
        <v>608</v>
      </c>
      <c r="D35" s="21" t="s">
        <v>609</v>
      </c>
    </row>
    <row r="36" customFormat="false" ht="15" hidden="false" customHeight="false" outlineLevel="0" collapsed="false">
      <c r="A36" s="22" t="s">
        <v>570</v>
      </c>
      <c r="B36" s="22" t="s">
        <v>610</v>
      </c>
      <c r="C36" s="21" t="s">
        <v>611</v>
      </c>
      <c r="D36" s="21" t="s">
        <v>612</v>
      </c>
    </row>
    <row r="37" customFormat="false" ht="26.85" hidden="false" customHeight="false" outlineLevel="0" collapsed="false">
      <c r="A37" s="22" t="s">
        <v>575</v>
      </c>
      <c r="B37" s="22" t="s">
        <v>613</v>
      </c>
      <c r="C37" s="22" t="s">
        <v>614</v>
      </c>
      <c r="D37" s="21" t="s">
        <v>615</v>
      </c>
    </row>
    <row r="38" customFormat="false" ht="15" hidden="false" customHeight="false" outlineLevel="0" collapsed="false">
      <c r="A38" s="22" t="s">
        <v>560</v>
      </c>
      <c r="B38" s="22" t="s">
        <v>616</v>
      </c>
      <c r="C38" s="21" t="s">
        <v>617</v>
      </c>
      <c r="D38" s="21" t="s">
        <v>618</v>
      </c>
    </row>
    <row r="39" customFormat="false" ht="15" hidden="false" customHeight="false" outlineLevel="0" collapsed="false">
      <c r="A39" s="22" t="s">
        <v>530</v>
      </c>
      <c r="B39" s="22" t="s">
        <v>619</v>
      </c>
      <c r="C39" s="21" t="s">
        <v>620</v>
      </c>
      <c r="D39" s="21" t="s">
        <v>621</v>
      </c>
    </row>
    <row r="40" customFormat="false" ht="15" hidden="false" customHeight="false" outlineLevel="0" collapsed="false">
      <c r="A40" s="22" t="s">
        <v>525</v>
      </c>
      <c r="B40" s="22" t="s">
        <v>622</v>
      </c>
      <c r="C40" s="21" t="s">
        <v>623</v>
      </c>
      <c r="D40" s="21" t="s">
        <v>624</v>
      </c>
    </row>
    <row r="41" customFormat="false" ht="15" hidden="false" customHeight="false" outlineLevel="0" collapsed="false">
      <c r="A41" s="22" t="s">
        <v>535</v>
      </c>
      <c r="B41" s="22" t="s">
        <v>625</v>
      </c>
      <c r="C41" s="21" t="s">
        <v>626</v>
      </c>
      <c r="D41" s="21" t="s">
        <v>627</v>
      </c>
    </row>
    <row r="42" customFormat="false" ht="15" hidden="false" customHeight="false" outlineLevel="0" collapsed="false">
      <c r="A42" s="22" t="s">
        <v>555</v>
      </c>
      <c r="B42" s="22" t="s">
        <v>628</v>
      </c>
      <c r="C42" s="21" t="s">
        <v>629</v>
      </c>
      <c r="D42" s="21" t="s">
        <v>630</v>
      </c>
    </row>
    <row r="43" customFormat="false" ht="26.85" hidden="false" customHeight="false" outlineLevel="0" collapsed="false">
      <c r="A43" s="21" t="s">
        <v>631</v>
      </c>
      <c r="B43" s="22" t="s">
        <v>632</v>
      </c>
      <c r="C43" s="21" t="s">
        <v>633</v>
      </c>
      <c r="D43" s="21" t="s">
        <v>634</v>
      </c>
    </row>
    <row r="44" customFormat="false" ht="15" hidden="false" customHeight="false" outlineLevel="0" collapsed="false">
      <c r="A44" s="22" t="s">
        <v>635</v>
      </c>
      <c r="B44" s="22" t="s">
        <v>636</v>
      </c>
      <c r="C44" s="21" t="s">
        <v>637</v>
      </c>
      <c r="D44" s="21" t="s">
        <v>638</v>
      </c>
    </row>
    <row r="45" customFormat="false" ht="26.85" hidden="false" customHeight="false" outlineLevel="0" collapsed="false">
      <c r="A45" s="21" t="s">
        <v>639</v>
      </c>
      <c r="B45" s="22" t="s">
        <v>640</v>
      </c>
      <c r="C45" s="21" t="s">
        <v>641</v>
      </c>
      <c r="D45" s="21" t="s">
        <v>642</v>
      </c>
    </row>
    <row r="46" customFormat="false" ht="15" hidden="false" customHeight="false" outlineLevel="0" collapsed="false">
      <c r="A46" s="22" t="s">
        <v>643</v>
      </c>
      <c r="B46" s="21" t="s">
        <v>644</v>
      </c>
      <c r="C46" s="21" t="s">
        <v>645</v>
      </c>
      <c r="D46" s="21" t="s">
        <v>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31" t="s">
        <v>647</v>
      </c>
    </row>
    <row r="2" customFormat="false" ht="15" hidden="false" customHeight="false" outlineLevel="0" collapsed="false">
      <c r="A2" s="2" t="s">
        <v>648</v>
      </c>
    </row>
    <row r="4" customFormat="false" ht="15" hidden="false" customHeight="false" outlineLevel="0" collapsed="false">
      <c r="A4" s="15" t="s">
        <v>649</v>
      </c>
      <c r="B4" s="16" t="s">
        <v>650</v>
      </c>
      <c r="C4" s="16" t="s">
        <v>651</v>
      </c>
    </row>
    <row r="5" customFormat="false" ht="15" hidden="false" customHeight="false" outlineLevel="0" collapsed="false">
      <c r="A5" s="29" t="n">
        <v>1</v>
      </c>
      <c r="B5" s="21" t="s">
        <v>652</v>
      </c>
      <c r="C5" s="27" t="s">
        <v>653</v>
      </c>
    </row>
    <row r="6" customFormat="false" ht="15" hidden="false" customHeight="false" outlineLevel="0" collapsed="false">
      <c r="A6" s="29" t="n">
        <v>2</v>
      </c>
      <c r="B6" s="21" t="s">
        <v>654</v>
      </c>
      <c r="C6" s="27" t="s">
        <v>653</v>
      </c>
    </row>
    <row r="7" customFormat="false" ht="15" hidden="false" customHeight="false" outlineLevel="0" collapsed="false">
      <c r="A7" s="29" t="n">
        <v>3</v>
      </c>
      <c r="B7" s="21" t="s">
        <v>655</v>
      </c>
      <c r="C7" s="29" t="s">
        <v>656</v>
      </c>
    </row>
    <row r="8" customFormat="false" ht="15" hidden="false" customHeight="false" outlineLevel="0" collapsed="false">
      <c r="A8" s="29" t="n">
        <v>4</v>
      </c>
      <c r="B8" s="21" t="s">
        <v>657</v>
      </c>
      <c r="C8" s="27" t="s">
        <v>658</v>
      </c>
    </row>
    <row r="9" customFormat="false" ht="15" hidden="false" customHeight="false" outlineLevel="0" collapsed="false">
      <c r="A9" s="29" t="n">
        <v>5</v>
      </c>
      <c r="B9" s="21" t="s">
        <v>659</v>
      </c>
      <c r="C9" s="29" t="s">
        <v>656</v>
      </c>
    </row>
    <row r="10" customFormat="false" ht="15" hidden="false" customHeight="false" outlineLevel="0" collapsed="false">
      <c r="A10" s="29" t="n">
        <v>6</v>
      </c>
      <c r="B10" s="22" t="s">
        <v>660</v>
      </c>
      <c r="C10" s="27" t="s">
        <v>661</v>
      </c>
    </row>
    <row r="11" customFormat="false" ht="15" hidden="false" customHeight="false" outlineLevel="0" collapsed="false">
      <c r="A11" s="29" t="n">
        <v>7</v>
      </c>
      <c r="B11" s="21" t="s">
        <v>662</v>
      </c>
      <c r="C11" s="27" t="s">
        <v>663</v>
      </c>
    </row>
    <row r="12" customFormat="false" ht="15" hidden="false" customHeight="false" outlineLevel="0" collapsed="false">
      <c r="A12" s="29" t="n">
        <v>8</v>
      </c>
      <c r="B12" s="21" t="s">
        <v>664</v>
      </c>
      <c r="C12" s="29" t="s">
        <v>656</v>
      </c>
    </row>
    <row r="13" customFormat="false" ht="15" hidden="false" customHeight="false" outlineLevel="0" collapsed="false">
      <c r="A13" s="29" t="n">
        <v>9</v>
      </c>
      <c r="B13" s="21" t="s">
        <v>665</v>
      </c>
      <c r="C13" s="27" t="s">
        <v>666</v>
      </c>
    </row>
    <row r="14" customFormat="false" ht="15" hidden="false" customHeight="false" outlineLevel="0" collapsed="false">
      <c r="A14" s="29" t="n">
        <v>10</v>
      </c>
      <c r="B14" s="21" t="s">
        <v>667</v>
      </c>
      <c r="C14" s="29" t="s">
        <v>656</v>
      </c>
    </row>
    <row r="15" customFormat="false" ht="15" hidden="false" customHeight="false" outlineLevel="0" collapsed="false">
      <c r="A15" s="29" t="n">
        <v>11</v>
      </c>
      <c r="B15" s="21" t="s">
        <v>668</v>
      </c>
      <c r="C15" s="29" t="s">
        <v>656</v>
      </c>
    </row>
    <row r="16" customFormat="false" ht="15" hidden="false" customHeight="false" outlineLevel="0" collapsed="false">
      <c r="A16" s="29" t="n">
        <v>12</v>
      </c>
      <c r="B16" s="22" t="s">
        <v>669</v>
      </c>
      <c r="C16" s="27" t="s">
        <v>670</v>
      </c>
    </row>
    <row r="17" customFormat="false" ht="15" hidden="false" customHeight="false" outlineLevel="0" collapsed="false">
      <c r="A17" s="29" t="n">
        <v>13</v>
      </c>
      <c r="B17" s="21" t="s">
        <v>671</v>
      </c>
      <c r="C17" s="27" t="s">
        <v>670</v>
      </c>
    </row>
    <row r="18" customFormat="false" ht="15" hidden="false" customHeight="false" outlineLevel="0" collapsed="false">
      <c r="A18" s="29" t="n">
        <v>14</v>
      </c>
      <c r="B18" s="21" t="s">
        <v>672</v>
      </c>
      <c r="C18" s="29" t="s">
        <v>656</v>
      </c>
    </row>
    <row r="19" customFormat="false" ht="15" hidden="false" customHeight="false" outlineLevel="0" collapsed="false">
      <c r="A19" s="29" t="n">
        <v>15</v>
      </c>
      <c r="B19" s="21" t="s">
        <v>673</v>
      </c>
      <c r="C19" s="27" t="s">
        <v>674</v>
      </c>
    </row>
    <row r="20" customFormat="false" ht="15" hidden="false" customHeight="false" outlineLevel="0" collapsed="false">
      <c r="A20" s="29" t="n">
        <v>16</v>
      </c>
      <c r="B20" s="21" t="s">
        <v>675</v>
      </c>
      <c r="C20" s="29" t="s">
        <v>656</v>
      </c>
    </row>
    <row r="21" customFormat="false" ht="15" hidden="false" customHeight="false" outlineLevel="0" collapsed="false">
      <c r="A21" s="29" t="n">
        <v>17</v>
      </c>
      <c r="B21" s="21" t="s">
        <v>676</v>
      </c>
      <c r="C21" s="29" t="s">
        <v>656</v>
      </c>
    </row>
    <row r="22" customFormat="false" ht="15" hidden="false" customHeight="false" outlineLevel="0" collapsed="false">
      <c r="A22" s="29" t="n">
        <v>18</v>
      </c>
      <c r="B22" s="21" t="s">
        <v>677</v>
      </c>
      <c r="C22" s="29" t="s">
        <v>656</v>
      </c>
    </row>
    <row r="23" customFormat="false" ht="15" hidden="false" customHeight="false" outlineLevel="0" collapsed="false">
      <c r="A23" s="29" t="n">
        <v>19</v>
      </c>
      <c r="B23" s="21" t="s">
        <v>678</v>
      </c>
      <c r="C23" s="27" t="s">
        <v>679</v>
      </c>
    </row>
    <row r="24" customFormat="false" ht="15" hidden="false" customHeight="false" outlineLevel="0" collapsed="false">
      <c r="A24" s="29" t="n">
        <v>20</v>
      </c>
      <c r="B24" s="21" t="s">
        <v>680</v>
      </c>
      <c r="C24" s="27" t="s">
        <v>681</v>
      </c>
    </row>
    <row r="25" customFormat="false" ht="15" hidden="false" customHeight="false" outlineLevel="0" collapsed="false">
      <c r="A25" s="29" t="n">
        <v>21</v>
      </c>
      <c r="B25" s="21" t="s">
        <v>682</v>
      </c>
      <c r="C25" s="27" t="s">
        <v>670</v>
      </c>
    </row>
    <row r="26" customFormat="false" ht="15" hidden="false" customHeight="false" outlineLevel="0" collapsed="false">
      <c r="A26" s="29" t="n">
        <v>22</v>
      </c>
      <c r="B26" s="21" t="s">
        <v>683</v>
      </c>
      <c r="C26" s="29" t="s">
        <v>656</v>
      </c>
    </row>
    <row r="27" customFormat="false" ht="15" hidden="false" customHeight="false" outlineLevel="0" collapsed="false">
      <c r="A27" s="29" t="n">
        <v>23</v>
      </c>
      <c r="B27" s="21" t="s">
        <v>684</v>
      </c>
      <c r="C27" s="27" t="s">
        <v>685</v>
      </c>
    </row>
    <row r="28" customFormat="false" ht="15" hidden="false" customHeight="false" outlineLevel="0" collapsed="false">
      <c r="A28" s="29" t="n">
        <v>24</v>
      </c>
      <c r="B28" s="21" t="s">
        <v>686</v>
      </c>
      <c r="C28" s="29" t="s">
        <v>656</v>
      </c>
    </row>
    <row r="29" customFormat="false" ht="15" hidden="false" customHeight="false" outlineLevel="0" collapsed="false">
      <c r="A29" s="29" t="n">
        <v>25</v>
      </c>
      <c r="B29" s="21" t="s">
        <v>687</v>
      </c>
      <c r="C29" s="27" t="s">
        <v>688</v>
      </c>
    </row>
    <row r="30" customFormat="false" ht="15" hidden="false" customHeight="false" outlineLevel="0" collapsed="false">
      <c r="A30" s="29" t="n">
        <v>26</v>
      </c>
      <c r="B30" s="21" t="s">
        <v>689</v>
      </c>
      <c r="C30" s="27" t="s">
        <v>690</v>
      </c>
    </row>
    <row r="31" customFormat="false" ht="15" hidden="false" customHeight="false" outlineLevel="0" collapsed="false">
      <c r="A31" s="29" t="n">
        <v>27</v>
      </c>
      <c r="B31" s="21" t="s">
        <v>691</v>
      </c>
      <c r="C31" s="27" t="s">
        <v>692</v>
      </c>
    </row>
    <row r="32" customFormat="false" ht="15" hidden="false" customHeight="false" outlineLevel="0" collapsed="false">
      <c r="A32" s="29" t="n">
        <v>28</v>
      </c>
      <c r="B32" s="21" t="s">
        <v>693</v>
      </c>
      <c r="C32" s="27" t="s">
        <v>694</v>
      </c>
    </row>
    <row r="33" customFormat="false" ht="15" hidden="false" customHeight="false" outlineLevel="0" collapsed="false">
      <c r="A33" s="29" t="n">
        <v>29</v>
      </c>
      <c r="B33" s="21" t="s">
        <v>695</v>
      </c>
      <c r="C33" s="27" t="s">
        <v>696</v>
      </c>
    </row>
    <row r="34" customFormat="false" ht="15" hidden="false" customHeight="false" outlineLevel="0" collapsed="false">
      <c r="A34" s="29" t="n">
        <v>30</v>
      </c>
      <c r="B34" s="21" t="s">
        <v>697</v>
      </c>
      <c r="C34" s="27" t="s">
        <v>696</v>
      </c>
    </row>
    <row r="35" customFormat="false" ht="15" hidden="false" customHeight="false" outlineLevel="0" collapsed="false">
      <c r="A35" s="29" t="n">
        <v>31</v>
      </c>
      <c r="B35" s="21" t="s">
        <v>698</v>
      </c>
      <c r="C35" s="27" t="s">
        <v>670</v>
      </c>
    </row>
    <row r="36" customFormat="false" ht="15" hidden="false" customHeight="false" outlineLevel="0" collapsed="false">
      <c r="A36" s="29" t="n">
        <v>32</v>
      </c>
      <c r="B36" s="21" t="s">
        <v>699</v>
      </c>
      <c r="C36" s="27" t="s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31" t="s">
        <v>701</v>
      </c>
    </row>
    <row r="2" customFormat="false" ht="15" hidden="false" customHeight="false" outlineLevel="0" collapsed="false">
      <c r="A2" s="2" t="s">
        <v>702</v>
      </c>
    </row>
    <row r="4" customFormat="false" ht="15" hidden="false" customHeight="false" outlineLevel="0" collapsed="false">
      <c r="A4" s="15" t="s">
        <v>649</v>
      </c>
      <c r="B4" s="16" t="s">
        <v>703</v>
      </c>
      <c r="C4" s="16" t="s">
        <v>704</v>
      </c>
      <c r="D4" s="16" t="s">
        <v>598</v>
      </c>
      <c r="E4" s="16" t="s">
        <v>704</v>
      </c>
    </row>
    <row r="5" customFormat="false" ht="15" hidden="false" customHeight="false" outlineLevel="0" collapsed="false">
      <c r="A5" s="29" t="n">
        <v>1</v>
      </c>
      <c r="B5" s="21" t="s">
        <v>705</v>
      </c>
      <c r="C5" s="27" t="s">
        <v>706</v>
      </c>
      <c r="D5" s="21" t="s">
        <v>707</v>
      </c>
      <c r="E5" s="27" t="s">
        <v>685</v>
      </c>
    </row>
    <row r="6" customFormat="false" ht="15" hidden="false" customHeight="false" outlineLevel="0" collapsed="false">
      <c r="A6" s="29" t="n">
        <v>2</v>
      </c>
      <c r="B6" s="21" t="s">
        <v>708</v>
      </c>
      <c r="C6" s="27" t="s">
        <v>709</v>
      </c>
      <c r="D6" s="21" t="s">
        <v>710</v>
      </c>
      <c r="E6" s="27" t="s">
        <v>711</v>
      </c>
    </row>
    <row r="7" customFormat="false" ht="15" hidden="false" customHeight="false" outlineLevel="0" collapsed="false">
      <c r="A7" s="29" t="n">
        <v>3</v>
      </c>
      <c r="B7" s="21" t="s">
        <v>712</v>
      </c>
      <c r="C7" s="27" t="s">
        <v>713</v>
      </c>
      <c r="D7" s="21" t="s">
        <v>714</v>
      </c>
      <c r="E7" s="27" t="s">
        <v>685</v>
      </c>
    </row>
    <row r="8" customFormat="false" ht="15" hidden="false" customHeight="false" outlineLevel="0" collapsed="false">
      <c r="A8" s="29" t="n">
        <v>4</v>
      </c>
      <c r="B8" s="21" t="s">
        <v>715</v>
      </c>
      <c r="C8" s="27" t="s">
        <v>685</v>
      </c>
      <c r="D8" s="21" t="s">
        <v>716</v>
      </c>
      <c r="E8" s="27" t="s">
        <v>717</v>
      </c>
    </row>
    <row r="9" customFormat="false" ht="15" hidden="false" customHeight="false" outlineLevel="0" collapsed="false">
      <c r="A9" s="29" t="n">
        <v>5</v>
      </c>
      <c r="B9" s="21" t="s">
        <v>718</v>
      </c>
      <c r="C9" s="27" t="s">
        <v>719</v>
      </c>
      <c r="D9" s="21" t="s">
        <v>720</v>
      </c>
      <c r="E9" s="27" t="s">
        <v>713</v>
      </c>
    </row>
    <row r="10" customFormat="false" ht="15" hidden="false" customHeight="false" outlineLevel="0" collapsed="false">
      <c r="A10" s="29" t="n">
        <v>6</v>
      </c>
      <c r="B10" s="21" t="s">
        <v>721</v>
      </c>
      <c r="C10" s="27" t="s">
        <v>666</v>
      </c>
      <c r="D10" s="21" t="s">
        <v>722</v>
      </c>
      <c r="E10" s="27" t="s">
        <v>713</v>
      </c>
    </row>
    <row r="11" customFormat="false" ht="15" hidden="false" customHeight="false" outlineLevel="0" collapsed="false">
      <c r="A11" s="29" t="n">
        <v>7</v>
      </c>
      <c r="B11" s="21" t="s">
        <v>723</v>
      </c>
      <c r="C11" s="29" t="s">
        <v>724</v>
      </c>
      <c r="D11" s="21" t="s">
        <v>725</v>
      </c>
      <c r="E11" s="27" t="s">
        <v>726</v>
      </c>
    </row>
    <row r="12" customFormat="false" ht="15" hidden="false" customHeight="false" outlineLevel="0" collapsed="false">
      <c r="A12" s="29" t="n">
        <v>8</v>
      </c>
      <c r="B12" s="21" t="s">
        <v>727</v>
      </c>
      <c r="C12" s="27" t="s">
        <v>694</v>
      </c>
      <c r="D12" s="21" t="s">
        <v>728</v>
      </c>
      <c r="E12" s="27" t="s">
        <v>729</v>
      </c>
    </row>
    <row r="13" customFormat="false" ht="26.85" hidden="false" customHeight="false" outlineLevel="0" collapsed="false">
      <c r="A13" s="29" t="n">
        <v>9</v>
      </c>
      <c r="B13" s="21" t="s">
        <v>730</v>
      </c>
      <c r="C13" s="27" t="s">
        <v>688</v>
      </c>
      <c r="D13" s="21" t="s">
        <v>731</v>
      </c>
      <c r="E13" s="27" t="s">
        <v>681</v>
      </c>
    </row>
    <row r="14" customFormat="false" ht="15" hidden="false" customHeight="false" outlineLevel="0" collapsed="false">
      <c r="A14" s="29" t="n">
        <v>10</v>
      </c>
      <c r="B14" s="21" t="s">
        <v>732</v>
      </c>
      <c r="C14" s="27" t="s">
        <v>733</v>
      </c>
      <c r="D14" s="21" t="s">
        <v>734</v>
      </c>
      <c r="E14" s="27" t="s">
        <v>658</v>
      </c>
    </row>
    <row r="15" customFormat="false" ht="15" hidden="false" customHeight="false" outlineLevel="0" collapsed="false">
      <c r="A15" s="29" t="n">
        <v>11</v>
      </c>
      <c r="B15" s="21" t="s">
        <v>735</v>
      </c>
      <c r="C15" s="27" t="s">
        <v>690</v>
      </c>
      <c r="D15" s="21" t="s">
        <v>736</v>
      </c>
      <c r="E15" s="27" t="s">
        <v>717</v>
      </c>
    </row>
    <row r="16" customFormat="false" ht="15" hidden="false" customHeight="false" outlineLevel="0" collapsed="false">
      <c r="A16" s="29" t="n">
        <v>12</v>
      </c>
      <c r="B16" s="21" t="s">
        <v>737</v>
      </c>
      <c r="C16" s="27" t="s">
        <v>738</v>
      </c>
      <c r="D16" s="21" t="s">
        <v>739</v>
      </c>
      <c r="E16" s="27" t="s">
        <v>666</v>
      </c>
    </row>
    <row r="17" customFormat="false" ht="15" hidden="false" customHeight="false" outlineLevel="0" collapsed="false">
      <c r="A17" s="29" t="n">
        <v>13</v>
      </c>
      <c r="B17" s="21" t="s">
        <v>740</v>
      </c>
      <c r="C17" s="27" t="s">
        <v>741</v>
      </c>
      <c r="D17" s="21" t="s">
        <v>742</v>
      </c>
      <c r="E17" s="27" t="s">
        <v>743</v>
      </c>
    </row>
    <row r="18" customFormat="false" ht="15" hidden="false" customHeight="false" outlineLevel="0" collapsed="false">
      <c r="A18" s="29" t="n">
        <v>14</v>
      </c>
      <c r="B18" s="21" t="s">
        <v>744</v>
      </c>
      <c r="C18" s="27" t="s">
        <v>653</v>
      </c>
      <c r="D18" s="21" t="s">
        <v>745</v>
      </c>
      <c r="E18" s="27" t="s">
        <v>692</v>
      </c>
    </row>
    <row r="19" customFormat="false" ht="15" hidden="false" customHeight="false" outlineLevel="0" collapsed="false">
      <c r="A19" s="29" t="n">
        <v>15</v>
      </c>
      <c r="B19" s="21" t="s">
        <v>746</v>
      </c>
      <c r="C19" s="27" t="s">
        <v>670</v>
      </c>
      <c r="D19" s="21" t="s">
        <v>747</v>
      </c>
      <c r="E19" s="27" t="s">
        <v>663</v>
      </c>
    </row>
    <row r="20" customFormat="false" ht="15" hidden="false" customHeight="false" outlineLevel="0" collapsed="false">
      <c r="A20" s="29" t="n">
        <v>16</v>
      </c>
      <c r="B20" s="21" t="s">
        <v>748</v>
      </c>
      <c r="C20" s="27" t="s">
        <v>696</v>
      </c>
      <c r="D20" s="21" t="s">
        <v>749</v>
      </c>
      <c r="E20" s="27" t="s">
        <v>750</v>
      </c>
    </row>
    <row r="21" customFormat="false" ht="15" hidden="false" customHeight="false" outlineLevel="0" collapsed="false">
      <c r="A21" s="29" t="n">
        <v>17</v>
      </c>
      <c r="B21" s="21"/>
      <c r="C21" s="29"/>
      <c r="D21" s="21" t="s">
        <v>751</v>
      </c>
      <c r="E21" s="27" t="s">
        <v>653</v>
      </c>
    </row>
    <row r="22" customFormat="false" ht="15" hidden="false" customHeight="false" outlineLevel="0" collapsed="false">
      <c r="A22" s="29" t="n">
        <v>18</v>
      </c>
      <c r="B22" s="21"/>
      <c r="C22" s="29"/>
      <c r="D22" s="21" t="s">
        <v>752</v>
      </c>
      <c r="E22" s="27" t="s">
        <v>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70"/>
    <col collapsed="false" customWidth="true" hidden="false" outlineLevel="0" max="3" min="3" style="0" width="50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31" t="s">
        <v>753</v>
      </c>
    </row>
    <row r="2" customFormat="false" ht="15" hidden="false" customHeight="false" outlineLevel="0" collapsed="false">
      <c r="A2" s="2" t="s">
        <v>754</v>
      </c>
    </row>
    <row r="4" customFormat="false" ht="15" hidden="false" customHeight="false" outlineLevel="0" collapsed="false">
      <c r="A4" s="16" t="s">
        <v>57</v>
      </c>
      <c r="B4" s="16" t="s">
        <v>755</v>
      </c>
      <c r="C4" s="16" t="s">
        <v>756</v>
      </c>
      <c r="D4" s="16" t="s">
        <v>757</v>
      </c>
    </row>
    <row r="5" customFormat="false" ht="26.85" hidden="false" customHeight="false" outlineLevel="0" collapsed="false">
      <c r="A5" s="21" t="s">
        <v>758</v>
      </c>
      <c r="B5" s="29" t="s">
        <v>759</v>
      </c>
      <c r="C5" s="21" t="s">
        <v>760</v>
      </c>
      <c r="D5" s="21" t="s">
        <v>761</v>
      </c>
    </row>
    <row r="6" customFormat="false" ht="15" hidden="false" customHeight="false" outlineLevel="0" collapsed="false">
      <c r="A6" s="21" t="s">
        <v>762</v>
      </c>
      <c r="B6" s="29" t="s">
        <v>763</v>
      </c>
      <c r="C6" s="21" t="s">
        <v>764</v>
      </c>
      <c r="D6" s="22" t="s">
        <v>765</v>
      </c>
    </row>
    <row r="7" customFormat="false" ht="15" hidden="false" customHeight="false" outlineLevel="0" collapsed="false">
      <c r="A7" s="21" t="s">
        <v>766</v>
      </c>
      <c r="B7" s="29" t="s">
        <v>767</v>
      </c>
      <c r="C7" s="21" t="s">
        <v>768</v>
      </c>
      <c r="D7" s="22" t="s">
        <v>769</v>
      </c>
    </row>
    <row r="8" customFormat="false" ht="15" hidden="false" customHeight="false" outlineLevel="0" collapsed="false">
      <c r="A8" s="21" t="s">
        <v>770</v>
      </c>
      <c r="B8" s="29" t="s">
        <v>763</v>
      </c>
      <c r="C8" s="21" t="s">
        <v>771</v>
      </c>
      <c r="D8" s="22" t="s">
        <v>772</v>
      </c>
    </row>
    <row r="9" customFormat="false" ht="15" hidden="false" customHeight="false" outlineLevel="0" collapsed="false">
      <c r="A9" s="21" t="s">
        <v>773</v>
      </c>
      <c r="B9" s="29" t="s">
        <v>774</v>
      </c>
      <c r="C9" s="21" t="s">
        <v>775</v>
      </c>
      <c r="D9" s="21" t="s">
        <v>776</v>
      </c>
    </row>
    <row r="10" customFormat="false" ht="26.85" hidden="false" customHeight="false" outlineLevel="0" collapsed="false">
      <c r="A10" s="22" t="s">
        <v>777</v>
      </c>
      <c r="B10" s="29" t="s">
        <v>778</v>
      </c>
      <c r="C10" s="22" t="s">
        <v>779</v>
      </c>
      <c r="D10" s="21" t="s">
        <v>780</v>
      </c>
    </row>
    <row r="12" customFormat="false" ht="15" hidden="false" customHeight="false" outlineLevel="0" collapsed="false">
      <c r="A12" s="5" t="s">
        <v>781</v>
      </c>
    </row>
    <row r="13" customFormat="false" ht="15" hidden="false" customHeight="false" outlineLevel="0" collapsed="false">
      <c r="A13" s="15" t="s">
        <v>782</v>
      </c>
      <c r="B13" s="15" t="s">
        <v>783</v>
      </c>
    </row>
    <row r="14" customFormat="false" ht="15" hidden="false" customHeight="false" outlineLevel="0" collapsed="false">
      <c r="A14" s="21" t="s">
        <v>784</v>
      </c>
      <c r="B14" s="21" t="s">
        <v>785</v>
      </c>
    </row>
    <row r="15" customFormat="false" ht="15" hidden="false" customHeight="false" outlineLevel="0" collapsed="false">
      <c r="A15" s="21" t="s">
        <v>786</v>
      </c>
      <c r="B15" s="21" t="s">
        <v>787</v>
      </c>
    </row>
    <row r="16" customFormat="false" ht="15" hidden="false" customHeight="false" outlineLevel="0" collapsed="false">
      <c r="A16" s="21" t="s">
        <v>788</v>
      </c>
      <c r="B16" s="21" t="s">
        <v>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50"/>
    <col collapsed="false" customWidth="true" hidden="false" outlineLevel="0" max="5" min="5" style="0" width="42"/>
    <col collapsed="false" customWidth="true" hidden="false" outlineLevel="0" max="6" min="6" style="0" width="6"/>
    <col collapsed="false" customWidth="true" hidden="false" outlineLevel="0" max="7" min="7" style="0" width="30"/>
    <col collapsed="false" customWidth="true" hidden="false" outlineLevel="0" max="8" min="8" style="0" width="18"/>
  </cols>
  <sheetData>
    <row r="1" customFormat="false" ht="19.4" hidden="false" customHeight="false" outlineLevel="0" collapsed="false">
      <c r="A1" s="31" t="s">
        <v>790</v>
      </c>
    </row>
    <row r="2" customFormat="false" ht="15" hidden="false" customHeight="false" outlineLevel="0" collapsed="false">
      <c r="A2" s="2" t="s">
        <v>791</v>
      </c>
    </row>
    <row r="4" customFormat="false" ht="15" hidden="false" customHeight="false" outlineLevel="0" collapsed="false">
      <c r="A4" s="15" t="s">
        <v>649</v>
      </c>
      <c r="B4" s="16" t="s">
        <v>792</v>
      </c>
      <c r="C4" s="16" t="s">
        <v>793</v>
      </c>
      <c r="D4" s="16" t="s">
        <v>58</v>
      </c>
      <c r="E4" s="16" t="s">
        <v>59</v>
      </c>
      <c r="F4" s="16" t="s">
        <v>65</v>
      </c>
      <c r="G4" s="16" t="s">
        <v>794</v>
      </c>
      <c r="H4" s="16" t="s">
        <v>795</v>
      </c>
    </row>
    <row r="5" customFormat="false" ht="26.85" hidden="false" customHeight="false" outlineLevel="0" collapsed="false">
      <c r="A5" s="29" t="n">
        <v>1</v>
      </c>
      <c r="B5" s="21" t="s">
        <v>796</v>
      </c>
      <c r="C5" s="29" t="s">
        <v>87</v>
      </c>
      <c r="D5" s="21" t="s">
        <v>797</v>
      </c>
      <c r="E5" s="21" t="s">
        <v>798</v>
      </c>
      <c r="F5" s="27" t="s">
        <v>799</v>
      </c>
      <c r="G5" s="21" t="s">
        <v>800</v>
      </c>
      <c r="H5" s="34"/>
    </row>
    <row r="6" customFormat="false" ht="26.85" hidden="false" customHeight="false" outlineLevel="0" collapsed="false">
      <c r="A6" s="29" t="n">
        <v>2</v>
      </c>
      <c r="B6" s="21" t="s">
        <v>796</v>
      </c>
      <c r="C6" s="29" t="s">
        <v>110</v>
      </c>
      <c r="D6" s="21" t="s">
        <v>801</v>
      </c>
      <c r="E6" s="21" t="s">
        <v>802</v>
      </c>
      <c r="F6" s="27" t="s">
        <v>803</v>
      </c>
      <c r="G6" s="21" t="s">
        <v>804</v>
      </c>
      <c r="H6" s="34"/>
    </row>
    <row r="7" customFormat="false" ht="26.85" hidden="false" customHeight="false" outlineLevel="0" collapsed="false">
      <c r="A7" s="29" t="n">
        <v>3</v>
      </c>
      <c r="B7" s="21" t="s">
        <v>796</v>
      </c>
      <c r="C7" s="29" t="s">
        <v>87</v>
      </c>
      <c r="D7" s="21" t="s">
        <v>805</v>
      </c>
      <c r="E7" s="21" t="s">
        <v>806</v>
      </c>
      <c r="F7" s="27" t="s">
        <v>799</v>
      </c>
      <c r="G7" s="22" t="s">
        <v>807</v>
      </c>
      <c r="H7" s="34"/>
    </row>
    <row r="8" customFormat="false" ht="26.85" hidden="false" customHeight="false" outlineLevel="0" collapsed="false">
      <c r="A8" s="29" t="n">
        <v>4</v>
      </c>
      <c r="B8" s="21" t="s">
        <v>796</v>
      </c>
      <c r="C8" s="29" t="s">
        <v>110</v>
      </c>
      <c r="D8" s="21" t="s">
        <v>808</v>
      </c>
      <c r="E8" s="21" t="s">
        <v>809</v>
      </c>
      <c r="F8" s="27" t="s">
        <v>803</v>
      </c>
      <c r="G8" s="21" t="s">
        <v>810</v>
      </c>
      <c r="H8" s="34"/>
    </row>
    <row r="9" customFormat="false" ht="26.85" hidden="false" customHeight="false" outlineLevel="0" collapsed="false">
      <c r="A9" s="29" t="n">
        <v>5</v>
      </c>
      <c r="B9" s="21" t="s">
        <v>796</v>
      </c>
      <c r="C9" s="29" t="s">
        <v>87</v>
      </c>
      <c r="D9" s="21" t="s">
        <v>811</v>
      </c>
      <c r="E9" s="21" t="s">
        <v>812</v>
      </c>
      <c r="F9" s="27" t="s">
        <v>799</v>
      </c>
      <c r="G9" s="21" t="s">
        <v>813</v>
      </c>
      <c r="H9" s="34"/>
    </row>
    <row r="10" customFormat="false" ht="26.85" hidden="false" customHeight="false" outlineLevel="0" collapsed="false">
      <c r="A10" s="29" t="n">
        <v>6</v>
      </c>
      <c r="B10" s="21" t="s">
        <v>796</v>
      </c>
      <c r="C10" s="29" t="s">
        <v>110</v>
      </c>
      <c r="D10" s="21" t="s">
        <v>814</v>
      </c>
      <c r="E10" s="21" t="s">
        <v>815</v>
      </c>
      <c r="F10" s="27" t="s">
        <v>816</v>
      </c>
      <c r="G10" s="21" t="s">
        <v>817</v>
      </c>
      <c r="H10" s="34"/>
    </row>
    <row r="11" customFormat="false" ht="26.85" hidden="false" customHeight="false" outlineLevel="0" collapsed="false">
      <c r="A11" s="29" t="n">
        <v>7</v>
      </c>
      <c r="B11" s="21" t="s">
        <v>796</v>
      </c>
      <c r="C11" s="29" t="s">
        <v>87</v>
      </c>
      <c r="D11" s="21" t="s">
        <v>818</v>
      </c>
      <c r="E11" s="21" t="s">
        <v>819</v>
      </c>
      <c r="F11" s="27" t="s">
        <v>799</v>
      </c>
      <c r="G11" s="21" t="s">
        <v>820</v>
      </c>
      <c r="H11" s="34"/>
    </row>
    <row r="12" customFormat="false" ht="26.85" hidden="false" customHeight="false" outlineLevel="0" collapsed="false">
      <c r="A12" s="29" t="n">
        <v>8</v>
      </c>
      <c r="B12" s="21" t="s">
        <v>796</v>
      </c>
      <c r="C12" s="29" t="s">
        <v>110</v>
      </c>
      <c r="D12" s="21" t="s">
        <v>821</v>
      </c>
      <c r="E12" s="21" t="s">
        <v>822</v>
      </c>
      <c r="F12" s="27" t="s">
        <v>803</v>
      </c>
      <c r="G12" s="21" t="s">
        <v>823</v>
      </c>
      <c r="H12" s="34"/>
    </row>
    <row r="13" customFormat="false" ht="15" hidden="false" customHeight="false" outlineLevel="0" collapsed="false">
      <c r="A13" s="29" t="n">
        <v>9</v>
      </c>
      <c r="B13" s="21" t="s">
        <v>796</v>
      </c>
      <c r="C13" s="29" t="s">
        <v>87</v>
      </c>
      <c r="D13" s="21" t="s">
        <v>824</v>
      </c>
      <c r="E13" s="21" t="s">
        <v>825</v>
      </c>
      <c r="F13" s="27" t="s">
        <v>826</v>
      </c>
      <c r="G13" s="21" t="s">
        <v>827</v>
      </c>
      <c r="H13" s="34"/>
    </row>
    <row r="14" customFormat="false" ht="26.85" hidden="false" customHeight="false" outlineLevel="0" collapsed="false">
      <c r="A14" s="29" t="n">
        <v>10</v>
      </c>
      <c r="B14" s="21" t="s">
        <v>796</v>
      </c>
      <c r="C14" s="29" t="s">
        <v>110</v>
      </c>
      <c r="D14" s="21" t="s">
        <v>828</v>
      </c>
      <c r="E14" s="21" t="s">
        <v>829</v>
      </c>
      <c r="F14" s="27" t="s">
        <v>830</v>
      </c>
      <c r="G14" s="21" t="s">
        <v>831</v>
      </c>
      <c r="H14" s="34"/>
    </row>
    <row r="15" customFormat="false" ht="26.85" hidden="false" customHeight="false" outlineLevel="0" collapsed="false">
      <c r="A15" s="29" t="n">
        <v>11</v>
      </c>
      <c r="B15" s="21" t="s">
        <v>796</v>
      </c>
      <c r="C15" s="29" t="s">
        <v>87</v>
      </c>
      <c r="D15" s="22" t="s">
        <v>832</v>
      </c>
      <c r="E15" s="21" t="s">
        <v>833</v>
      </c>
      <c r="F15" s="27" t="s">
        <v>799</v>
      </c>
      <c r="G15" s="21" t="s">
        <v>834</v>
      </c>
      <c r="H15" s="34"/>
    </row>
    <row r="16" customFormat="false" ht="15" hidden="false" customHeight="false" outlineLevel="0" collapsed="false">
      <c r="A16" s="29" t="n">
        <v>12</v>
      </c>
      <c r="B16" s="21" t="s">
        <v>796</v>
      </c>
      <c r="C16" s="29" t="s">
        <v>110</v>
      </c>
      <c r="D16" s="21" t="s">
        <v>835</v>
      </c>
      <c r="E16" s="21" t="s">
        <v>836</v>
      </c>
      <c r="F16" s="27" t="s">
        <v>803</v>
      </c>
      <c r="G16" s="21" t="s">
        <v>837</v>
      </c>
      <c r="H16" s="34"/>
    </row>
    <row r="17" customFormat="false" ht="15" hidden="false" customHeight="false" outlineLevel="0" collapsed="false">
      <c r="A17" s="29" t="n">
        <v>13</v>
      </c>
      <c r="B17" s="21" t="s">
        <v>796</v>
      </c>
      <c r="C17" s="29" t="s">
        <v>87</v>
      </c>
      <c r="D17" s="21" t="s">
        <v>838</v>
      </c>
      <c r="E17" s="21" t="s">
        <v>839</v>
      </c>
      <c r="F17" s="27" t="s">
        <v>826</v>
      </c>
      <c r="G17" s="21" t="s">
        <v>840</v>
      </c>
      <c r="H17" s="34"/>
    </row>
    <row r="18" customFormat="false" ht="26.85" hidden="false" customHeight="false" outlineLevel="0" collapsed="false">
      <c r="A18" s="29" t="n">
        <v>14</v>
      </c>
      <c r="B18" s="21" t="s">
        <v>796</v>
      </c>
      <c r="C18" s="29" t="s">
        <v>110</v>
      </c>
      <c r="D18" s="21" t="s">
        <v>841</v>
      </c>
      <c r="E18" s="21" t="s">
        <v>842</v>
      </c>
      <c r="F18" s="27" t="s">
        <v>803</v>
      </c>
      <c r="G18" s="21" t="s">
        <v>843</v>
      </c>
      <c r="H18" s="34"/>
    </row>
    <row r="19" customFormat="false" ht="26.85" hidden="false" customHeight="false" outlineLevel="0" collapsed="false">
      <c r="A19" s="29" t="n">
        <v>15</v>
      </c>
      <c r="B19" s="21" t="s">
        <v>796</v>
      </c>
      <c r="C19" s="29" t="s">
        <v>87</v>
      </c>
      <c r="D19" s="21" t="s">
        <v>844</v>
      </c>
      <c r="E19" s="21" t="s">
        <v>845</v>
      </c>
      <c r="F19" s="27" t="s">
        <v>830</v>
      </c>
      <c r="G19" s="21" t="s">
        <v>846</v>
      </c>
      <c r="H19" s="34"/>
    </row>
    <row r="20" customFormat="false" ht="26.85" hidden="false" customHeight="false" outlineLevel="0" collapsed="false">
      <c r="A20" s="29" t="n">
        <v>16</v>
      </c>
      <c r="B20" s="21" t="s">
        <v>796</v>
      </c>
      <c r="C20" s="29" t="s">
        <v>110</v>
      </c>
      <c r="D20" s="21" t="s">
        <v>847</v>
      </c>
      <c r="E20" s="21" t="s">
        <v>848</v>
      </c>
      <c r="F20" s="27" t="s">
        <v>803</v>
      </c>
      <c r="G20" s="21" t="s">
        <v>849</v>
      </c>
      <c r="H20" s="34"/>
    </row>
    <row r="21" customFormat="false" ht="26.85" hidden="false" customHeight="false" outlineLevel="0" collapsed="false">
      <c r="A21" s="29" t="n">
        <v>17</v>
      </c>
      <c r="B21" s="21" t="s">
        <v>796</v>
      </c>
      <c r="C21" s="29" t="s">
        <v>87</v>
      </c>
      <c r="D21" s="21" t="s">
        <v>850</v>
      </c>
      <c r="E21" s="21" t="s">
        <v>851</v>
      </c>
      <c r="F21" s="27" t="s">
        <v>799</v>
      </c>
      <c r="G21" s="21" t="s">
        <v>852</v>
      </c>
      <c r="H21" s="34"/>
    </row>
    <row r="22" customFormat="false" ht="26.85" hidden="false" customHeight="false" outlineLevel="0" collapsed="false">
      <c r="A22" s="29" t="n">
        <v>18</v>
      </c>
      <c r="B22" s="21" t="s">
        <v>796</v>
      </c>
      <c r="C22" s="29" t="s">
        <v>110</v>
      </c>
      <c r="D22" s="21" t="s">
        <v>853</v>
      </c>
      <c r="E22" s="21" t="s">
        <v>854</v>
      </c>
      <c r="F22" s="27" t="s">
        <v>803</v>
      </c>
      <c r="G22" s="21" t="s">
        <v>855</v>
      </c>
      <c r="H22" s="34"/>
    </row>
    <row r="23" customFormat="false" ht="26.85" hidden="false" customHeight="false" outlineLevel="0" collapsed="false">
      <c r="A23" s="29" t="n">
        <v>19</v>
      </c>
      <c r="B23" s="21" t="s">
        <v>796</v>
      </c>
      <c r="C23" s="29" t="s">
        <v>87</v>
      </c>
      <c r="D23" s="21" t="s">
        <v>856</v>
      </c>
      <c r="E23" s="21" t="s">
        <v>857</v>
      </c>
      <c r="F23" s="27" t="s">
        <v>816</v>
      </c>
      <c r="G23" s="21" t="s">
        <v>858</v>
      </c>
      <c r="H23" s="34"/>
    </row>
    <row r="24" customFormat="false" ht="26.85" hidden="false" customHeight="false" outlineLevel="0" collapsed="false">
      <c r="A24" s="29" t="n">
        <v>20</v>
      </c>
      <c r="B24" s="21" t="s">
        <v>796</v>
      </c>
      <c r="C24" s="29" t="s">
        <v>110</v>
      </c>
      <c r="D24" s="21" t="s">
        <v>859</v>
      </c>
      <c r="E24" s="21" t="s">
        <v>860</v>
      </c>
      <c r="F24" s="27" t="s">
        <v>816</v>
      </c>
      <c r="G24" s="21" t="s">
        <v>861</v>
      </c>
      <c r="H24" s="34"/>
    </row>
    <row r="25" customFormat="false" ht="26.85" hidden="false" customHeight="false" outlineLevel="0" collapsed="false">
      <c r="A25" s="29" t="n">
        <v>21</v>
      </c>
      <c r="B25" s="21" t="s">
        <v>862</v>
      </c>
      <c r="C25" s="29" t="s">
        <v>87</v>
      </c>
      <c r="D25" s="21" t="s">
        <v>863</v>
      </c>
      <c r="E25" s="21" t="s">
        <v>864</v>
      </c>
      <c r="F25" s="27" t="s">
        <v>803</v>
      </c>
      <c r="G25" s="21" t="s">
        <v>865</v>
      </c>
      <c r="H25" s="34"/>
    </row>
    <row r="26" customFormat="false" ht="26.85" hidden="false" customHeight="false" outlineLevel="0" collapsed="false">
      <c r="A26" s="29" t="n">
        <v>22</v>
      </c>
      <c r="B26" s="21" t="s">
        <v>862</v>
      </c>
      <c r="C26" s="29" t="s">
        <v>110</v>
      </c>
      <c r="D26" s="21" t="s">
        <v>866</v>
      </c>
      <c r="E26" s="21" t="s">
        <v>867</v>
      </c>
      <c r="F26" s="27" t="s">
        <v>830</v>
      </c>
      <c r="G26" s="21" t="s">
        <v>868</v>
      </c>
      <c r="H26" s="34"/>
    </row>
    <row r="27" customFormat="false" ht="26.85" hidden="false" customHeight="false" outlineLevel="0" collapsed="false">
      <c r="A27" s="29" t="n">
        <v>23</v>
      </c>
      <c r="B27" s="21" t="s">
        <v>862</v>
      </c>
      <c r="C27" s="29" t="s">
        <v>87</v>
      </c>
      <c r="D27" s="21" t="s">
        <v>869</v>
      </c>
      <c r="E27" s="21" t="s">
        <v>870</v>
      </c>
      <c r="F27" s="27" t="s">
        <v>803</v>
      </c>
      <c r="G27" s="21" t="s">
        <v>871</v>
      </c>
      <c r="H27" s="34"/>
    </row>
    <row r="28" customFormat="false" ht="26.85" hidden="false" customHeight="false" outlineLevel="0" collapsed="false">
      <c r="A28" s="29" t="n">
        <v>24</v>
      </c>
      <c r="B28" s="21" t="s">
        <v>862</v>
      </c>
      <c r="C28" s="29" t="s">
        <v>110</v>
      </c>
      <c r="D28" s="21" t="s">
        <v>872</v>
      </c>
      <c r="E28" s="21" t="s">
        <v>873</v>
      </c>
      <c r="F28" s="27" t="s">
        <v>830</v>
      </c>
      <c r="G28" s="21" t="s">
        <v>874</v>
      </c>
      <c r="H28" s="34"/>
    </row>
    <row r="29" customFormat="false" ht="26.85" hidden="false" customHeight="false" outlineLevel="0" collapsed="false">
      <c r="A29" s="29" t="n">
        <v>25</v>
      </c>
      <c r="B29" s="21" t="s">
        <v>862</v>
      </c>
      <c r="C29" s="29" t="s">
        <v>87</v>
      </c>
      <c r="D29" s="21" t="s">
        <v>875</v>
      </c>
      <c r="E29" s="21" t="s">
        <v>876</v>
      </c>
      <c r="F29" s="27" t="s">
        <v>799</v>
      </c>
      <c r="G29" s="21" t="s">
        <v>877</v>
      </c>
      <c r="H29" s="34"/>
    </row>
    <row r="30" customFormat="false" ht="26.85" hidden="false" customHeight="false" outlineLevel="0" collapsed="false">
      <c r="A30" s="29" t="n">
        <v>26</v>
      </c>
      <c r="B30" s="21" t="s">
        <v>862</v>
      </c>
      <c r="C30" s="29" t="s">
        <v>110</v>
      </c>
      <c r="D30" s="21" t="s">
        <v>878</v>
      </c>
      <c r="E30" s="21" t="s">
        <v>879</v>
      </c>
      <c r="F30" s="27" t="s">
        <v>803</v>
      </c>
      <c r="G30" s="21" t="s">
        <v>880</v>
      </c>
      <c r="H30" s="34"/>
    </row>
    <row r="31" customFormat="false" ht="26.85" hidden="false" customHeight="false" outlineLevel="0" collapsed="false">
      <c r="A31" s="29" t="n">
        <v>27</v>
      </c>
      <c r="B31" s="21" t="s">
        <v>862</v>
      </c>
      <c r="C31" s="29" t="s">
        <v>87</v>
      </c>
      <c r="D31" s="21" t="s">
        <v>881</v>
      </c>
      <c r="E31" s="21" t="s">
        <v>882</v>
      </c>
      <c r="F31" s="27" t="s">
        <v>799</v>
      </c>
      <c r="G31" s="21" t="s">
        <v>883</v>
      </c>
      <c r="H31" s="34"/>
    </row>
    <row r="32" customFormat="false" ht="26.85" hidden="false" customHeight="false" outlineLevel="0" collapsed="false">
      <c r="A32" s="29" t="n">
        <v>28</v>
      </c>
      <c r="B32" s="21" t="s">
        <v>862</v>
      </c>
      <c r="C32" s="29" t="s">
        <v>110</v>
      </c>
      <c r="D32" s="21" t="s">
        <v>884</v>
      </c>
      <c r="E32" s="21" t="s">
        <v>885</v>
      </c>
      <c r="F32" s="27" t="s">
        <v>803</v>
      </c>
      <c r="G32" s="21" t="s">
        <v>886</v>
      </c>
      <c r="H32" s="34"/>
    </row>
    <row r="33" customFormat="false" ht="26.85" hidden="false" customHeight="false" outlineLevel="0" collapsed="false">
      <c r="A33" s="29" t="n">
        <v>29</v>
      </c>
      <c r="B33" s="21" t="s">
        <v>862</v>
      </c>
      <c r="C33" s="29" t="s">
        <v>87</v>
      </c>
      <c r="D33" s="21" t="s">
        <v>887</v>
      </c>
      <c r="E33" s="21" t="s">
        <v>888</v>
      </c>
      <c r="F33" s="27" t="s">
        <v>816</v>
      </c>
      <c r="G33" s="21" t="s">
        <v>889</v>
      </c>
      <c r="H33" s="34"/>
    </row>
    <row r="34" customFormat="false" ht="26.85" hidden="false" customHeight="false" outlineLevel="0" collapsed="false">
      <c r="A34" s="29" t="n">
        <v>30</v>
      </c>
      <c r="B34" s="21" t="s">
        <v>862</v>
      </c>
      <c r="C34" s="29" t="s">
        <v>110</v>
      </c>
      <c r="D34" s="21" t="s">
        <v>890</v>
      </c>
      <c r="E34" s="21" t="s">
        <v>891</v>
      </c>
      <c r="F34" s="27" t="s">
        <v>830</v>
      </c>
      <c r="G34" s="21" t="s">
        <v>892</v>
      </c>
      <c r="H34" s="34"/>
    </row>
    <row r="35" customFormat="false" ht="26.85" hidden="false" customHeight="false" outlineLevel="0" collapsed="false">
      <c r="A35" s="29" t="n">
        <v>31</v>
      </c>
      <c r="B35" s="21" t="s">
        <v>862</v>
      </c>
      <c r="C35" s="29" t="s">
        <v>87</v>
      </c>
      <c r="D35" s="21" t="s">
        <v>893</v>
      </c>
      <c r="E35" s="21" t="s">
        <v>894</v>
      </c>
      <c r="F35" s="27" t="s">
        <v>803</v>
      </c>
      <c r="G35" s="21" t="s">
        <v>895</v>
      </c>
      <c r="H35" s="34"/>
    </row>
    <row r="36" customFormat="false" ht="26.85" hidden="false" customHeight="false" outlineLevel="0" collapsed="false">
      <c r="A36" s="29" t="n">
        <v>32</v>
      </c>
      <c r="B36" s="21" t="s">
        <v>862</v>
      </c>
      <c r="C36" s="29" t="s">
        <v>110</v>
      </c>
      <c r="D36" s="21" t="s">
        <v>896</v>
      </c>
      <c r="E36" s="21" t="s">
        <v>897</v>
      </c>
      <c r="F36" s="27" t="s">
        <v>799</v>
      </c>
      <c r="G36" s="21" t="s">
        <v>898</v>
      </c>
      <c r="H36" s="34"/>
    </row>
    <row r="37" customFormat="false" ht="26.85" hidden="false" customHeight="false" outlineLevel="0" collapsed="false">
      <c r="A37" s="29" t="n">
        <v>33</v>
      </c>
      <c r="B37" s="21" t="s">
        <v>862</v>
      </c>
      <c r="C37" s="29" t="s">
        <v>87</v>
      </c>
      <c r="D37" s="21" t="s">
        <v>899</v>
      </c>
      <c r="E37" s="21" t="s">
        <v>900</v>
      </c>
      <c r="F37" s="27" t="s">
        <v>816</v>
      </c>
      <c r="G37" s="21" t="s">
        <v>901</v>
      </c>
      <c r="H37" s="34"/>
    </row>
    <row r="38" customFormat="false" ht="26.85" hidden="false" customHeight="false" outlineLevel="0" collapsed="false">
      <c r="A38" s="29" t="n">
        <v>34</v>
      </c>
      <c r="B38" s="21" t="s">
        <v>862</v>
      </c>
      <c r="C38" s="29" t="s">
        <v>110</v>
      </c>
      <c r="D38" s="21" t="s">
        <v>902</v>
      </c>
      <c r="E38" s="21" t="s">
        <v>903</v>
      </c>
      <c r="F38" s="27" t="s">
        <v>830</v>
      </c>
      <c r="G38" s="21" t="s">
        <v>904</v>
      </c>
      <c r="H38" s="34"/>
    </row>
    <row r="39" customFormat="false" ht="26.85" hidden="false" customHeight="false" outlineLevel="0" collapsed="false">
      <c r="A39" s="29" t="n">
        <v>35</v>
      </c>
      <c r="B39" s="21" t="s">
        <v>862</v>
      </c>
      <c r="C39" s="29" t="s">
        <v>87</v>
      </c>
      <c r="D39" s="21" t="s">
        <v>905</v>
      </c>
      <c r="E39" s="21" t="s">
        <v>906</v>
      </c>
      <c r="F39" s="27" t="s">
        <v>803</v>
      </c>
      <c r="G39" s="21" t="s">
        <v>907</v>
      </c>
      <c r="H39" s="34"/>
    </row>
    <row r="40" customFormat="false" ht="26.85" hidden="false" customHeight="false" outlineLevel="0" collapsed="false">
      <c r="A40" s="29" t="n">
        <v>36</v>
      </c>
      <c r="B40" s="21" t="s">
        <v>862</v>
      </c>
      <c r="C40" s="29" t="s">
        <v>110</v>
      </c>
      <c r="D40" s="21" t="s">
        <v>908</v>
      </c>
      <c r="E40" s="21" t="s">
        <v>909</v>
      </c>
      <c r="F40" s="27" t="s">
        <v>803</v>
      </c>
      <c r="G40" s="21" t="s">
        <v>910</v>
      </c>
      <c r="H40" s="34"/>
    </row>
    <row r="41" customFormat="false" ht="26.85" hidden="false" customHeight="false" outlineLevel="0" collapsed="false">
      <c r="A41" s="29" t="n">
        <v>37</v>
      </c>
      <c r="B41" s="21" t="s">
        <v>862</v>
      </c>
      <c r="C41" s="29" t="s">
        <v>87</v>
      </c>
      <c r="D41" s="21" t="s">
        <v>911</v>
      </c>
      <c r="E41" s="21" t="s">
        <v>912</v>
      </c>
      <c r="F41" s="27" t="s">
        <v>799</v>
      </c>
      <c r="G41" s="21" t="s">
        <v>913</v>
      </c>
      <c r="H41" s="34"/>
    </row>
    <row r="42" customFormat="false" ht="26.85" hidden="false" customHeight="false" outlineLevel="0" collapsed="false">
      <c r="A42" s="29" t="n">
        <v>38</v>
      </c>
      <c r="B42" s="21" t="s">
        <v>862</v>
      </c>
      <c r="C42" s="29" t="s">
        <v>110</v>
      </c>
      <c r="D42" s="21" t="s">
        <v>914</v>
      </c>
      <c r="E42" s="21" t="s">
        <v>915</v>
      </c>
      <c r="F42" s="27" t="s">
        <v>803</v>
      </c>
      <c r="G42" s="21" t="s">
        <v>916</v>
      </c>
      <c r="H42" s="34"/>
    </row>
    <row r="43" customFormat="false" ht="26.85" hidden="false" customHeight="false" outlineLevel="0" collapsed="false">
      <c r="A43" s="29" t="n">
        <v>39</v>
      </c>
      <c r="B43" s="21" t="s">
        <v>862</v>
      </c>
      <c r="C43" s="29" t="s">
        <v>87</v>
      </c>
      <c r="D43" s="21" t="s">
        <v>917</v>
      </c>
      <c r="E43" s="21" t="s">
        <v>918</v>
      </c>
      <c r="F43" s="27" t="s">
        <v>816</v>
      </c>
      <c r="G43" s="21" t="s">
        <v>919</v>
      </c>
      <c r="H43" s="34"/>
    </row>
    <row r="44" customFormat="false" ht="26.85" hidden="false" customHeight="false" outlineLevel="0" collapsed="false">
      <c r="A44" s="29" t="n">
        <v>40</v>
      </c>
      <c r="B44" s="21" t="s">
        <v>862</v>
      </c>
      <c r="C44" s="29" t="s">
        <v>110</v>
      </c>
      <c r="D44" s="21" t="s">
        <v>920</v>
      </c>
      <c r="E44" s="21" t="s">
        <v>921</v>
      </c>
      <c r="F44" s="27" t="s">
        <v>830</v>
      </c>
      <c r="G44" s="21" t="s">
        <v>922</v>
      </c>
      <c r="H44" s="34"/>
    </row>
    <row r="45" customFormat="false" ht="26.85" hidden="false" customHeight="false" outlineLevel="0" collapsed="false">
      <c r="A45" s="29" t="n">
        <v>41</v>
      </c>
      <c r="B45" s="21" t="s">
        <v>923</v>
      </c>
      <c r="C45" s="29" t="s">
        <v>87</v>
      </c>
      <c r="D45" s="21" t="s">
        <v>924</v>
      </c>
      <c r="E45" s="21" t="s">
        <v>925</v>
      </c>
      <c r="F45" s="27" t="s">
        <v>803</v>
      </c>
      <c r="G45" s="21" t="s">
        <v>926</v>
      </c>
      <c r="H45" s="34"/>
    </row>
    <row r="46" customFormat="false" ht="26.85" hidden="false" customHeight="false" outlineLevel="0" collapsed="false">
      <c r="A46" s="29" t="n">
        <v>42</v>
      </c>
      <c r="B46" s="21" t="s">
        <v>923</v>
      </c>
      <c r="C46" s="29" t="s">
        <v>87</v>
      </c>
      <c r="D46" s="21" t="s">
        <v>927</v>
      </c>
      <c r="E46" s="21" t="s">
        <v>928</v>
      </c>
      <c r="F46" s="27" t="s">
        <v>929</v>
      </c>
      <c r="G46" s="21" t="s">
        <v>930</v>
      </c>
      <c r="H46" s="34"/>
    </row>
    <row r="47" customFormat="false" ht="26.85" hidden="false" customHeight="false" outlineLevel="0" collapsed="false">
      <c r="A47" s="29" t="n">
        <v>43</v>
      </c>
      <c r="B47" s="21" t="s">
        <v>923</v>
      </c>
      <c r="C47" s="29" t="s">
        <v>110</v>
      </c>
      <c r="D47" s="21" t="s">
        <v>931</v>
      </c>
      <c r="E47" s="21" t="s">
        <v>932</v>
      </c>
      <c r="F47" s="27" t="s">
        <v>803</v>
      </c>
      <c r="G47" s="21" t="s">
        <v>933</v>
      </c>
      <c r="H47" s="34"/>
    </row>
    <row r="48" customFormat="false" ht="26.85" hidden="false" customHeight="false" outlineLevel="0" collapsed="false">
      <c r="A48" s="29" t="n">
        <v>44</v>
      </c>
      <c r="B48" s="21" t="s">
        <v>923</v>
      </c>
      <c r="C48" s="29" t="s">
        <v>87</v>
      </c>
      <c r="D48" s="21" t="s">
        <v>934</v>
      </c>
      <c r="E48" s="21" t="s">
        <v>935</v>
      </c>
      <c r="F48" s="27" t="s">
        <v>799</v>
      </c>
      <c r="G48" s="21" t="s">
        <v>936</v>
      </c>
      <c r="H48" s="34"/>
    </row>
    <row r="49" customFormat="false" ht="26.85" hidden="false" customHeight="false" outlineLevel="0" collapsed="false">
      <c r="A49" s="29" t="n">
        <v>45</v>
      </c>
      <c r="B49" s="21" t="s">
        <v>923</v>
      </c>
      <c r="C49" s="29" t="s">
        <v>87</v>
      </c>
      <c r="D49" s="21" t="s">
        <v>937</v>
      </c>
      <c r="E49" s="21" t="s">
        <v>938</v>
      </c>
      <c r="F49" s="27" t="s">
        <v>816</v>
      </c>
      <c r="G49" s="21" t="s">
        <v>939</v>
      </c>
      <c r="H49" s="34"/>
    </row>
    <row r="50" customFormat="false" ht="26.85" hidden="false" customHeight="false" outlineLevel="0" collapsed="false">
      <c r="A50" s="29" t="n">
        <v>46</v>
      </c>
      <c r="B50" s="21" t="s">
        <v>923</v>
      </c>
      <c r="C50" s="29" t="s">
        <v>110</v>
      </c>
      <c r="D50" s="21" t="s">
        <v>940</v>
      </c>
      <c r="E50" s="21" t="s">
        <v>941</v>
      </c>
      <c r="F50" s="27" t="s">
        <v>803</v>
      </c>
      <c r="G50" s="21" t="s">
        <v>942</v>
      </c>
      <c r="H50" s="34"/>
    </row>
    <row r="51" customFormat="false" ht="26.85" hidden="false" customHeight="false" outlineLevel="0" collapsed="false">
      <c r="A51" s="29" t="n">
        <v>47</v>
      </c>
      <c r="B51" s="21" t="s">
        <v>923</v>
      </c>
      <c r="C51" s="29" t="s">
        <v>87</v>
      </c>
      <c r="D51" s="21" t="s">
        <v>943</v>
      </c>
      <c r="E51" s="21" t="s">
        <v>944</v>
      </c>
      <c r="F51" s="27" t="s">
        <v>799</v>
      </c>
      <c r="G51" s="21" t="s">
        <v>945</v>
      </c>
      <c r="H51" s="34"/>
    </row>
    <row r="52" customFormat="false" ht="26.85" hidden="false" customHeight="false" outlineLevel="0" collapsed="false">
      <c r="A52" s="29" t="n">
        <v>48</v>
      </c>
      <c r="B52" s="21" t="s">
        <v>923</v>
      </c>
      <c r="C52" s="29" t="s">
        <v>87</v>
      </c>
      <c r="D52" s="21" t="s">
        <v>946</v>
      </c>
      <c r="E52" s="21" t="s">
        <v>947</v>
      </c>
      <c r="F52" s="27" t="s">
        <v>929</v>
      </c>
      <c r="G52" s="21" t="s">
        <v>948</v>
      </c>
      <c r="H52" s="34"/>
    </row>
    <row r="53" customFormat="false" ht="26.85" hidden="false" customHeight="false" outlineLevel="0" collapsed="false">
      <c r="A53" s="29" t="n">
        <v>49</v>
      </c>
      <c r="B53" s="21" t="s">
        <v>923</v>
      </c>
      <c r="C53" s="29" t="s">
        <v>110</v>
      </c>
      <c r="D53" s="21" t="s">
        <v>949</v>
      </c>
      <c r="E53" s="21" t="s">
        <v>950</v>
      </c>
      <c r="F53" s="27" t="s">
        <v>830</v>
      </c>
      <c r="G53" s="21" t="s">
        <v>951</v>
      </c>
      <c r="H53" s="34"/>
    </row>
    <row r="54" customFormat="false" ht="26.85" hidden="false" customHeight="false" outlineLevel="0" collapsed="false">
      <c r="A54" s="29" t="n">
        <v>50</v>
      </c>
      <c r="B54" s="21" t="s">
        <v>923</v>
      </c>
      <c r="C54" s="29" t="s">
        <v>87</v>
      </c>
      <c r="D54" s="21" t="s">
        <v>952</v>
      </c>
      <c r="E54" s="21" t="s">
        <v>953</v>
      </c>
      <c r="F54" s="27" t="s">
        <v>799</v>
      </c>
      <c r="G54" s="21" t="s">
        <v>954</v>
      </c>
      <c r="H54" s="34"/>
    </row>
    <row r="55" customFormat="false" ht="15" hidden="false" customHeight="false" outlineLevel="0" collapsed="false">
      <c r="A55" s="29" t="n">
        <v>51</v>
      </c>
      <c r="B55" s="21" t="s">
        <v>923</v>
      </c>
      <c r="C55" s="29" t="s">
        <v>87</v>
      </c>
      <c r="D55" s="21" t="s">
        <v>955</v>
      </c>
      <c r="E55" s="21" t="s">
        <v>956</v>
      </c>
      <c r="F55" s="27" t="s">
        <v>816</v>
      </c>
      <c r="G55" s="21" t="s">
        <v>957</v>
      </c>
      <c r="H55" s="34"/>
    </row>
    <row r="56" customFormat="false" ht="26.85" hidden="false" customHeight="false" outlineLevel="0" collapsed="false">
      <c r="A56" s="29" t="n">
        <v>52</v>
      </c>
      <c r="B56" s="21" t="s">
        <v>923</v>
      </c>
      <c r="C56" s="29" t="s">
        <v>110</v>
      </c>
      <c r="D56" s="21" t="s">
        <v>958</v>
      </c>
      <c r="E56" s="21" t="s">
        <v>959</v>
      </c>
      <c r="F56" s="27" t="s">
        <v>803</v>
      </c>
      <c r="G56" s="21" t="s">
        <v>960</v>
      </c>
      <c r="H56" s="34"/>
    </row>
    <row r="57" customFormat="false" ht="15" hidden="false" customHeight="false" outlineLevel="0" collapsed="false">
      <c r="A57" s="29" t="n">
        <v>53</v>
      </c>
      <c r="B57" s="21" t="s">
        <v>923</v>
      </c>
      <c r="C57" s="29" t="s">
        <v>87</v>
      </c>
      <c r="D57" s="21" t="s">
        <v>961</v>
      </c>
      <c r="E57" s="21" t="s">
        <v>962</v>
      </c>
      <c r="F57" s="27" t="s">
        <v>799</v>
      </c>
      <c r="G57" s="21" t="s">
        <v>963</v>
      </c>
      <c r="H57" s="34"/>
    </row>
    <row r="58" customFormat="false" ht="26.85" hidden="false" customHeight="false" outlineLevel="0" collapsed="false">
      <c r="A58" s="29" t="n">
        <v>54</v>
      </c>
      <c r="B58" s="21" t="s">
        <v>923</v>
      </c>
      <c r="C58" s="29" t="s">
        <v>87</v>
      </c>
      <c r="D58" s="21" t="s">
        <v>964</v>
      </c>
      <c r="E58" s="21" t="s">
        <v>965</v>
      </c>
      <c r="F58" s="27" t="s">
        <v>929</v>
      </c>
      <c r="G58" s="21" t="s">
        <v>966</v>
      </c>
      <c r="H58" s="34"/>
    </row>
    <row r="59" customFormat="false" ht="26.85" hidden="false" customHeight="false" outlineLevel="0" collapsed="false">
      <c r="A59" s="29" t="n">
        <v>55</v>
      </c>
      <c r="B59" s="21" t="s">
        <v>923</v>
      </c>
      <c r="C59" s="29" t="s">
        <v>110</v>
      </c>
      <c r="D59" s="21" t="s">
        <v>967</v>
      </c>
      <c r="E59" s="21" t="s">
        <v>968</v>
      </c>
      <c r="F59" s="27" t="s">
        <v>803</v>
      </c>
      <c r="G59" s="21" t="s">
        <v>969</v>
      </c>
      <c r="H59" s="34"/>
    </row>
    <row r="60" customFormat="false" ht="26.85" hidden="false" customHeight="false" outlineLevel="0" collapsed="false">
      <c r="A60" s="29" t="n">
        <v>56</v>
      </c>
      <c r="B60" s="21" t="s">
        <v>923</v>
      </c>
      <c r="C60" s="29" t="s">
        <v>87</v>
      </c>
      <c r="D60" s="21" t="s">
        <v>970</v>
      </c>
      <c r="E60" s="21" t="s">
        <v>971</v>
      </c>
      <c r="F60" s="27" t="s">
        <v>799</v>
      </c>
      <c r="G60" s="21" t="s">
        <v>972</v>
      </c>
      <c r="H60" s="34"/>
    </row>
    <row r="61" customFormat="false" ht="26.85" hidden="false" customHeight="false" outlineLevel="0" collapsed="false">
      <c r="A61" s="29" t="n">
        <v>57</v>
      </c>
      <c r="B61" s="21" t="s">
        <v>923</v>
      </c>
      <c r="C61" s="29" t="s">
        <v>87</v>
      </c>
      <c r="D61" s="22" t="s">
        <v>973</v>
      </c>
      <c r="E61" s="21" t="s">
        <v>974</v>
      </c>
      <c r="F61" s="27" t="s">
        <v>830</v>
      </c>
      <c r="G61" s="22" t="s">
        <v>975</v>
      </c>
      <c r="H61" s="34"/>
    </row>
    <row r="62" customFormat="false" ht="26.85" hidden="false" customHeight="false" outlineLevel="0" collapsed="false">
      <c r="A62" s="29" t="n">
        <v>58</v>
      </c>
      <c r="B62" s="21" t="s">
        <v>923</v>
      </c>
      <c r="C62" s="29" t="s">
        <v>110</v>
      </c>
      <c r="D62" s="21" t="s">
        <v>976</v>
      </c>
      <c r="E62" s="21" t="s">
        <v>977</v>
      </c>
      <c r="F62" s="27" t="s">
        <v>799</v>
      </c>
      <c r="G62" s="21" t="s">
        <v>978</v>
      </c>
      <c r="H62" s="34"/>
    </row>
    <row r="63" customFormat="false" ht="26.85" hidden="false" customHeight="false" outlineLevel="0" collapsed="false">
      <c r="A63" s="29" t="n">
        <v>59</v>
      </c>
      <c r="B63" s="21" t="s">
        <v>923</v>
      </c>
      <c r="C63" s="29" t="s">
        <v>87</v>
      </c>
      <c r="D63" s="21" t="s">
        <v>979</v>
      </c>
      <c r="E63" s="21" t="s">
        <v>980</v>
      </c>
      <c r="F63" s="27" t="s">
        <v>799</v>
      </c>
      <c r="G63" s="21" t="s">
        <v>981</v>
      </c>
      <c r="H63" s="34"/>
    </row>
    <row r="64" customFormat="false" ht="26.85" hidden="false" customHeight="false" outlineLevel="0" collapsed="false">
      <c r="A64" s="29" t="n">
        <v>60</v>
      </c>
      <c r="B64" s="21" t="s">
        <v>923</v>
      </c>
      <c r="C64" s="29" t="s">
        <v>110</v>
      </c>
      <c r="D64" s="21" t="s">
        <v>982</v>
      </c>
      <c r="E64" s="21" t="s">
        <v>983</v>
      </c>
      <c r="F64" s="27" t="s">
        <v>803</v>
      </c>
      <c r="G64" s="21" t="s">
        <v>984</v>
      </c>
      <c r="H64" s="34"/>
    </row>
    <row r="65" customFormat="false" ht="26.85" hidden="false" customHeight="false" outlineLevel="0" collapsed="false">
      <c r="A65" s="29" t="n">
        <v>61</v>
      </c>
      <c r="B65" s="21" t="s">
        <v>985</v>
      </c>
      <c r="C65" s="29" t="s">
        <v>87</v>
      </c>
      <c r="D65" s="21" t="s">
        <v>986</v>
      </c>
      <c r="E65" s="21" t="s">
        <v>987</v>
      </c>
      <c r="F65" s="27" t="s">
        <v>799</v>
      </c>
      <c r="G65" s="21" t="s">
        <v>988</v>
      </c>
      <c r="H65" s="34"/>
    </row>
    <row r="66" customFormat="false" ht="26.85" hidden="false" customHeight="false" outlineLevel="0" collapsed="false">
      <c r="A66" s="29" t="n">
        <v>62</v>
      </c>
      <c r="B66" s="21" t="s">
        <v>985</v>
      </c>
      <c r="C66" s="29" t="s">
        <v>110</v>
      </c>
      <c r="D66" s="21" t="s">
        <v>989</v>
      </c>
      <c r="E66" s="21" t="s">
        <v>990</v>
      </c>
      <c r="F66" s="27" t="s">
        <v>803</v>
      </c>
      <c r="G66" s="21" t="s">
        <v>991</v>
      </c>
      <c r="H66" s="34"/>
    </row>
    <row r="67" customFormat="false" ht="26.85" hidden="false" customHeight="false" outlineLevel="0" collapsed="false">
      <c r="A67" s="29" t="n">
        <v>63</v>
      </c>
      <c r="B67" s="21" t="s">
        <v>985</v>
      </c>
      <c r="C67" s="29" t="s">
        <v>87</v>
      </c>
      <c r="D67" s="21" t="s">
        <v>992</v>
      </c>
      <c r="E67" s="21" t="s">
        <v>993</v>
      </c>
      <c r="F67" s="27" t="s">
        <v>816</v>
      </c>
      <c r="G67" s="22" t="s">
        <v>994</v>
      </c>
      <c r="H67" s="34"/>
    </row>
    <row r="68" customFormat="false" ht="26.85" hidden="false" customHeight="false" outlineLevel="0" collapsed="false">
      <c r="A68" s="29" t="n">
        <v>64</v>
      </c>
      <c r="B68" s="21" t="s">
        <v>985</v>
      </c>
      <c r="C68" s="29" t="s">
        <v>110</v>
      </c>
      <c r="D68" s="21" t="s">
        <v>995</v>
      </c>
      <c r="E68" s="21" t="s">
        <v>996</v>
      </c>
      <c r="F68" s="27" t="s">
        <v>803</v>
      </c>
      <c r="G68" s="21" t="s">
        <v>997</v>
      </c>
      <c r="H68" s="34"/>
    </row>
    <row r="69" customFormat="false" ht="26.85" hidden="false" customHeight="false" outlineLevel="0" collapsed="false">
      <c r="A69" s="29" t="n">
        <v>65</v>
      </c>
      <c r="B69" s="21" t="s">
        <v>985</v>
      </c>
      <c r="C69" s="29" t="s">
        <v>87</v>
      </c>
      <c r="D69" s="21" t="s">
        <v>998</v>
      </c>
      <c r="E69" s="21" t="s">
        <v>999</v>
      </c>
      <c r="F69" s="27" t="s">
        <v>799</v>
      </c>
      <c r="G69" s="21" t="s">
        <v>1000</v>
      </c>
      <c r="H69" s="34"/>
    </row>
    <row r="70" customFormat="false" ht="15" hidden="false" customHeight="false" outlineLevel="0" collapsed="false">
      <c r="A70" s="29" t="n">
        <v>66</v>
      </c>
      <c r="B70" s="21" t="s">
        <v>985</v>
      </c>
      <c r="C70" s="29" t="s">
        <v>110</v>
      </c>
      <c r="D70" s="21" t="s">
        <v>1001</v>
      </c>
      <c r="E70" s="21" t="s">
        <v>1002</v>
      </c>
      <c r="F70" s="27" t="s">
        <v>803</v>
      </c>
      <c r="G70" s="21" t="s">
        <v>1003</v>
      </c>
      <c r="H70" s="34"/>
    </row>
    <row r="71" customFormat="false" ht="26.85" hidden="false" customHeight="false" outlineLevel="0" collapsed="false">
      <c r="A71" s="29" t="n">
        <v>67</v>
      </c>
      <c r="B71" s="21" t="s">
        <v>985</v>
      </c>
      <c r="C71" s="29" t="s">
        <v>87</v>
      </c>
      <c r="D71" s="21" t="s">
        <v>1004</v>
      </c>
      <c r="E71" s="21" t="s">
        <v>1005</v>
      </c>
      <c r="F71" s="27" t="s">
        <v>830</v>
      </c>
      <c r="G71" s="21" t="s">
        <v>1006</v>
      </c>
      <c r="H71" s="34"/>
    </row>
    <row r="72" customFormat="false" ht="26.85" hidden="false" customHeight="false" outlineLevel="0" collapsed="false">
      <c r="A72" s="29" t="n">
        <v>68</v>
      </c>
      <c r="B72" s="21" t="s">
        <v>985</v>
      </c>
      <c r="C72" s="29" t="s">
        <v>110</v>
      </c>
      <c r="D72" s="21" t="s">
        <v>1007</v>
      </c>
      <c r="E72" s="21" t="s">
        <v>1008</v>
      </c>
      <c r="F72" s="27" t="s">
        <v>803</v>
      </c>
      <c r="G72" s="21" t="s">
        <v>1009</v>
      </c>
      <c r="H72" s="34"/>
    </row>
    <row r="73" customFormat="false" ht="26.85" hidden="false" customHeight="false" outlineLevel="0" collapsed="false">
      <c r="A73" s="29" t="n">
        <v>69</v>
      </c>
      <c r="B73" s="21" t="s">
        <v>985</v>
      </c>
      <c r="C73" s="29" t="s">
        <v>87</v>
      </c>
      <c r="D73" s="21" t="s">
        <v>1010</v>
      </c>
      <c r="E73" s="21" t="s">
        <v>1011</v>
      </c>
      <c r="F73" s="27" t="s">
        <v>826</v>
      </c>
      <c r="G73" s="21" t="s">
        <v>1012</v>
      </c>
      <c r="H73" s="34"/>
    </row>
    <row r="74" customFormat="false" ht="26.85" hidden="false" customHeight="false" outlineLevel="0" collapsed="false">
      <c r="A74" s="29" t="n">
        <v>70</v>
      </c>
      <c r="B74" s="21" t="s">
        <v>985</v>
      </c>
      <c r="C74" s="29" t="s">
        <v>110</v>
      </c>
      <c r="D74" s="21" t="s">
        <v>1013</v>
      </c>
      <c r="E74" s="21" t="s">
        <v>1014</v>
      </c>
      <c r="F74" s="27" t="s">
        <v>803</v>
      </c>
      <c r="G74" s="21" t="s">
        <v>1015</v>
      </c>
      <c r="H74" s="34"/>
    </row>
    <row r="75" customFormat="false" ht="26.85" hidden="false" customHeight="false" outlineLevel="0" collapsed="false">
      <c r="A75" s="29" t="n">
        <v>71</v>
      </c>
      <c r="B75" s="21" t="s">
        <v>985</v>
      </c>
      <c r="C75" s="29" t="s">
        <v>87</v>
      </c>
      <c r="D75" s="21" t="s">
        <v>1016</v>
      </c>
      <c r="E75" s="21" t="s">
        <v>1017</v>
      </c>
      <c r="F75" s="27" t="s">
        <v>799</v>
      </c>
      <c r="G75" s="21" t="s">
        <v>1018</v>
      </c>
      <c r="H75" s="34"/>
    </row>
    <row r="76" customFormat="false" ht="26.85" hidden="false" customHeight="false" outlineLevel="0" collapsed="false">
      <c r="A76" s="29" t="n">
        <v>72</v>
      </c>
      <c r="B76" s="21" t="s">
        <v>985</v>
      </c>
      <c r="C76" s="29" t="s">
        <v>110</v>
      </c>
      <c r="D76" s="21" t="s">
        <v>1019</v>
      </c>
      <c r="E76" s="21" t="s">
        <v>1020</v>
      </c>
      <c r="F76" s="27" t="s">
        <v>830</v>
      </c>
      <c r="G76" s="21" t="s">
        <v>1021</v>
      </c>
      <c r="H76" s="34"/>
    </row>
    <row r="77" customFormat="false" ht="26.85" hidden="false" customHeight="false" outlineLevel="0" collapsed="false">
      <c r="A77" s="29" t="n">
        <v>73</v>
      </c>
      <c r="B77" s="21" t="s">
        <v>985</v>
      </c>
      <c r="C77" s="29" t="s">
        <v>87</v>
      </c>
      <c r="D77" s="21" t="s">
        <v>1022</v>
      </c>
      <c r="E77" s="21" t="s">
        <v>1023</v>
      </c>
      <c r="F77" s="27" t="s">
        <v>816</v>
      </c>
      <c r="G77" s="21" t="s">
        <v>1024</v>
      </c>
      <c r="H77" s="34"/>
    </row>
    <row r="78" customFormat="false" ht="26.85" hidden="false" customHeight="false" outlineLevel="0" collapsed="false">
      <c r="A78" s="29" t="n">
        <v>74</v>
      </c>
      <c r="B78" s="21" t="s">
        <v>985</v>
      </c>
      <c r="C78" s="29" t="s">
        <v>110</v>
      </c>
      <c r="D78" s="21" t="s">
        <v>1025</v>
      </c>
      <c r="E78" s="21" t="s">
        <v>1026</v>
      </c>
      <c r="F78" s="27" t="s">
        <v>803</v>
      </c>
      <c r="G78" s="21" t="s">
        <v>1027</v>
      </c>
      <c r="H78" s="34"/>
    </row>
    <row r="79" customFormat="false" ht="26.85" hidden="false" customHeight="false" outlineLevel="0" collapsed="false">
      <c r="A79" s="29" t="n">
        <v>75</v>
      </c>
      <c r="B79" s="21" t="s">
        <v>985</v>
      </c>
      <c r="C79" s="29" t="s">
        <v>87</v>
      </c>
      <c r="D79" s="21" t="s">
        <v>1028</v>
      </c>
      <c r="E79" s="21" t="s">
        <v>1029</v>
      </c>
      <c r="F79" s="27" t="s">
        <v>799</v>
      </c>
      <c r="G79" s="21" t="s">
        <v>1030</v>
      </c>
      <c r="H79" s="34"/>
    </row>
    <row r="80" customFormat="false" ht="15" hidden="false" customHeight="false" outlineLevel="0" collapsed="false">
      <c r="A80" s="29" t="n">
        <v>76</v>
      </c>
      <c r="B80" s="21" t="s">
        <v>985</v>
      </c>
      <c r="C80" s="29" t="s">
        <v>110</v>
      </c>
      <c r="D80" s="21" t="s">
        <v>1031</v>
      </c>
      <c r="E80" s="21" t="s">
        <v>1032</v>
      </c>
      <c r="F80" s="27" t="s">
        <v>803</v>
      </c>
      <c r="G80" s="21" t="s">
        <v>1033</v>
      </c>
      <c r="H80" s="34"/>
    </row>
    <row r="81" customFormat="false" ht="26.85" hidden="false" customHeight="false" outlineLevel="0" collapsed="false">
      <c r="A81" s="29" t="n">
        <v>77</v>
      </c>
      <c r="B81" s="21" t="s">
        <v>985</v>
      </c>
      <c r="C81" s="29" t="s">
        <v>87</v>
      </c>
      <c r="D81" s="21" t="s">
        <v>1034</v>
      </c>
      <c r="E81" s="21" t="s">
        <v>1035</v>
      </c>
      <c r="F81" s="27" t="s">
        <v>816</v>
      </c>
      <c r="G81" s="21" t="s">
        <v>1036</v>
      </c>
      <c r="H81" s="34"/>
    </row>
    <row r="82" customFormat="false" ht="26.85" hidden="false" customHeight="false" outlineLevel="0" collapsed="false">
      <c r="A82" s="29" t="n">
        <v>78</v>
      </c>
      <c r="B82" s="21" t="s">
        <v>985</v>
      </c>
      <c r="C82" s="29" t="s">
        <v>110</v>
      </c>
      <c r="D82" s="21" t="s">
        <v>1037</v>
      </c>
      <c r="E82" s="21" t="s">
        <v>1038</v>
      </c>
      <c r="F82" s="27" t="s">
        <v>803</v>
      </c>
      <c r="G82" s="21" t="s">
        <v>1039</v>
      </c>
      <c r="H82" s="34"/>
    </row>
    <row r="83" customFormat="false" ht="26.85" hidden="false" customHeight="false" outlineLevel="0" collapsed="false">
      <c r="A83" s="29" t="n">
        <v>79</v>
      </c>
      <c r="B83" s="21" t="s">
        <v>985</v>
      </c>
      <c r="C83" s="29" t="s">
        <v>87</v>
      </c>
      <c r="D83" s="21" t="s">
        <v>1040</v>
      </c>
      <c r="E83" s="21" t="s">
        <v>1041</v>
      </c>
      <c r="F83" s="27" t="s">
        <v>799</v>
      </c>
      <c r="G83" s="21" t="s">
        <v>1042</v>
      </c>
      <c r="H83" s="34"/>
    </row>
    <row r="84" customFormat="false" ht="26.85" hidden="false" customHeight="false" outlineLevel="0" collapsed="false">
      <c r="A84" s="29" t="n">
        <v>80</v>
      </c>
      <c r="B84" s="21" t="s">
        <v>985</v>
      </c>
      <c r="C84" s="29" t="s">
        <v>110</v>
      </c>
      <c r="D84" s="21" t="s">
        <v>1043</v>
      </c>
      <c r="E84" s="21" t="s">
        <v>1044</v>
      </c>
      <c r="F84" s="27" t="s">
        <v>803</v>
      </c>
      <c r="G84" s="21" t="s">
        <v>1045</v>
      </c>
      <c r="H84" s="34"/>
    </row>
    <row r="85" customFormat="false" ht="26.85" hidden="false" customHeight="false" outlineLevel="0" collapsed="false">
      <c r="A85" s="29" t="n">
        <v>81</v>
      </c>
      <c r="B85" s="21" t="s">
        <v>1046</v>
      </c>
      <c r="C85" s="29" t="s">
        <v>110</v>
      </c>
      <c r="D85" s="21" t="s">
        <v>1047</v>
      </c>
      <c r="E85" s="21" t="s">
        <v>1048</v>
      </c>
      <c r="F85" s="27" t="s">
        <v>803</v>
      </c>
      <c r="G85" s="21" t="s">
        <v>1049</v>
      </c>
      <c r="H85" s="34"/>
    </row>
    <row r="86" customFormat="false" ht="15" hidden="false" customHeight="false" outlineLevel="0" collapsed="false">
      <c r="A86" s="29" t="n">
        <v>82</v>
      </c>
      <c r="B86" s="21" t="s">
        <v>1046</v>
      </c>
      <c r="C86" s="29" t="s">
        <v>87</v>
      </c>
      <c r="D86" s="21" t="s">
        <v>1050</v>
      </c>
      <c r="E86" s="21" t="s">
        <v>1051</v>
      </c>
      <c r="F86" s="27" t="s">
        <v>826</v>
      </c>
      <c r="G86" s="21" t="s">
        <v>1052</v>
      </c>
      <c r="H86" s="34"/>
    </row>
    <row r="87" customFormat="false" ht="26.85" hidden="false" customHeight="false" outlineLevel="0" collapsed="false">
      <c r="A87" s="29" t="n">
        <v>83</v>
      </c>
      <c r="B87" s="21" t="s">
        <v>1046</v>
      </c>
      <c r="C87" s="29" t="s">
        <v>110</v>
      </c>
      <c r="D87" s="22" t="s">
        <v>1053</v>
      </c>
      <c r="E87" s="21" t="s">
        <v>1054</v>
      </c>
      <c r="F87" s="27" t="s">
        <v>830</v>
      </c>
      <c r="G87" s="21" t="s">
        <v>1055</v>
      </c>
      <c r="H87" s="34"/>
    </row>
    <row r="88" customFormat="false" ht="15" hidden="false" customHeight="false" outlineLevel="0" collapsed="false">
      <c r="A88" s="29" t="n">
        <v>84</v>
      </c>
      <c r="B88" s="21" t="s">
        <v>1046</v>
      </c>
      <c r="C88" s="29" t="s">
        <v>87</v>
      </c>
      <c r="D88" s="21" t="s">
        <v>1056</v>
      </c>
      <c r="E88" s="21" t="s">
        <v>1057</v>
      </c>
      <c r="F88" s="27" t="s">
        <v>799</v>
      </c>
      <c r="G88" s="21" t="s">
        <v>1058</v>
      </c>
      <c r="H88" s="34"/>
    </row>
    <row r="89" customFormat="false" ht="26.85" hidden="false" customHeight="false" outlineLevel="0" collapsed="false">
      <c r="A89" s="29" t="n">
        <v>85</v>
      </c>
      <c r="B89" s="21" t="s">
        <v>1046</v>
      </c>
      <c r="C89" s="29" t="s">
        <v>110</v>
      </c>
      <c r="D89" s="21" t="s">
        <v>1059</v>
      </c>
      <c r="E89" s="21" t="s">
        <v>1060</v>
      </c>
      <c r="F89" s="27" t="s">
        <v>803</v>
      </c>
      <c r="G89" s="21" t="s">
        <v>1061</v>
      </c>
      <c r="H89" s="34"/>
    </row>
    <row r="90" customFormat="false" ht="15" hidden="false" customHeight="false" outlineLevel="0" collapsed="false">
      <c r="A90" s="29" t="n">
        <v>86</v>
      </c>
      <c r="B90" s="21" t="s">
        <v>1046</v>
      </c>
      <c r="C90" s="29" t="s">
        <v>87</v>
      </c>
      <c r="D90" s="21" t="s">
        <v>1062</v>
      </c>
      <c r="E90" s="21" t="s">
        <v>1063</v>
      </c>
      <c r="F90" s="27" t="s">
        <v>799</v>
      </c>
      <c r="G90" s="21" t="s">
        <v>1064</v>
      </c>
      <c r="H90" s="34"/>
    </row>
    <row r="91" customFormat="false" ht="26.85" hidden="false" customHeight="false" outlineLevel="0" collapsed="false">
      <c r="A91" s="29" t="n">
        <v>87</v>
      </c>
      <c r="B91" s="21" t="s">
        <v>1046</v>
      </c>
      <c r="C91" s="29" t="s">
        <v>110</v>
      </c>
      <c r="D91" s="21" t="s">
        <v>1065</v>
      </c>
      <c r="E91" s="21" t="s">
        <v>1066</v>
      </c>
      <c r="F91" s="27" t="s">
        <v>1067</v>
      </c>
      <c r="G91" s="21" t="s">
        <v>1068</v>
      </c>
      <c r="H91" s="34"/>
    </row>
    <row r="92" customFormat="false" ht="15" hidden="false" customHeight="false" outlineLevel="0" collapsed="false">
      <c r="A92" s="29" t="n">
        <v>88</v>
      </c>
      <c r="B92" s="21" t="s">
        <v>1046</v>
      </c>
      <c r="C92" s="29" t="s">
        <v>87</v>
      </c>
      <c r="D92" s="21" t="s">
        <v>1069</v>
      </c>
      <c r="E92" s="21" t="s">
        <v>1070</v>
      </c>
      <c r="F92" s="27" t="s">
        <v>799</v>
      </c>
      <c r="G92" s="21" t="s">
        <v>1071</v>
      </c>
      <c r="H92" s="34"/>
    </row>
    <row r="93" customFormat="false" ht="26.85" hidden="false" customHeight="false" outlineLevel="0" collapsed="false">
      <c r="A93" s="29" t="n">
        <v>89</v>
      </c>
      <c r="B93" s="21" t="s">
        <v>1046</v>
      </c>
      <c r="C93" s="29" t="s">
        <v>110</v>
      </c>
      <c r="D93" s="21" t="s">
        <v>1072</v>
      </c>
      <c r="E93" s="21" t="s">
        <v>1073</v>
      </c>
      <c r="F93" s="27" t="s">
        <v>803</v>
      </c>
      <c r="G93" s="21" t="s">
        <v>1074</v>
      </c>
      <c r="H93" s="34"/>
    </row>
    <row r="94" customFormat="false" ht="26.85" hidden="false" customHeight="false" outlineLevel="0" collapsed="false">
      <c r="A94" s="29" t="n">
        <v>90</v>
      </c>
      <c r="B94" s="21" t="s">
        <v>1046</v>
      </c>
      <c r="C94" s="29" t="s">
        <v>87</v>
      </c>
      <c r="D94" s="21" t="s">
        <v>1075</v>
      </c>
      <c r="E94" s="21" t="s">
        <v>1076</v>
      </c>
      <c r="F94" s="27" t="s">
        <v>826</v>
      </c>
      <c r="G94" s="21" t="s">
        <v>1077</v>
      </c>
      <c r="H94" s="34"/>
    </row>
    <row r="95" customFormat="false" ht="26.85" hidden="false" customHeight="false" outlineLevel="0" collapsed="false">
      <c r="A95" s="29" t="n">
        <v>91</v>
      </c>
      <c r="B95" s="21" t="s">
        <v>1046</v>
      </c>
      <c r="C95" s="29" t="s">
        <v>110</v>
      </c>
      <c r="D95" s="21" t="s">
        <v>1078</v>
      </c>
      <c r="E95" s="21" t="s">
        <v>1079</v>
      </c>
      <c r="F95" s="27" t="s">
        <v>803</v>
      </c>
      <c r="G95" s="21" t="s">
        <v>1080</v>
      </c>
      <c r="H95" s="34"/>
    </row>
    <row r="96" customFormat="false" ht="26.85" hidden="false" customHeight="false" outlineLevel="0" collapsed="false">
      <c r="A96" s="29" t="n">
        <v>92</v>
      </c>
      <c r="B96" s="21" t="s">
        <v>1046</v>
      </c>
      <c r="C96" s="29" t="s">
        <v>87</v>
      </c>
      <c r="D96" s="21" t="s">
        <v>1081</v>
      </c>
      <c r="E96" s="21" t="s">
        <v>1082</v>
      </c>
      <c r="F96" s="27" t="s">
        <v>799</v>
      </c>
      <c r="G96" s="21" t="s">
        <v>1083</v>
      </c>
      <c r="H96" s="34"/>
    </row>
    <row r="97" customFormat="false" ht="26.85" hidden="false" customHeight="false" outlineLevel="0" collapsed="false">
      <c r="A97" s="29" t="n">
        <v>93</v>
      </c>
      <c r="B97" s="21" t="s">
        <v>1046</v>
      </c>
      <c r="C97" s="29" t="s">
        <v>110</v>
      </c>
      <c r="D97" s="22" t="s">
        <v>1084</v>
      </c>
      <c r="E97" s="21" t="s">
        <v>1085</v>
      </c>
      <c r="F97" s="27" t="s">
        <v>1067</v>
      </c>
      <c r="G97" s="21" t="s">
        <v>1086</v>
      </c>
      <c r="H97" s="34"/>
    </row>
    <row r="98" customFormat="false" ht="26.85" hidden="false" customHeight="false" outlineLevel="0" collapsed="false">
      <c r="A98" s="29" t="n">
        <v>94</v>
      </c>
      <c r="B98" s="21" t="s">
        <v>1046</v>
      </c>
      <c r="C98" s="29" t="s">
        <v>87</v>
      </c>
      <c r="D98" s="21" t="s">
        <v>1087</v>
      </c>
      <c r="E98" s="21" t="s">
        <v>1088</v>
      </c>
      <c r="F98" s="27" t="s">
        <v>799</v>
      </c>
      <c r="G98" s="21" t="s">
        <v>1089</v>
      </c>
      <c r="H98" s="34"/>
    </row>
    <row r="99" customFormat="false" ht="26.85" hidden="false" customHeight="false" outlineLevel="0" collapsed="false">
      <c r="A99" s="29" t="n">
        <v>95</v>
      </c>
      <c r="B99" s="21" t="s">
        <v>1046</v>
      </c>
      <c r="C99" s="29" t="s">
        <v>110</v>
      </c>
      <c r="D99" s="21" t="s">
        <v>1090</v>
      </c>
      <c r="E99" s="21" t="s">
        <v>1091</v>
      </c>
      <c r="F99" s="27" t="s">
        <v>803</v>
      </c>
      <c r="G99" s="21" t="s">
        <v>1092</v>
      </c>
      <c r="H99" s="34"/>
    </row>
    <row r="100" customFormat="false" ht="26.85" hidden="false" customHeight="false" outlineLevel="0" collapsed="false">
      <c r="A100" s="29" t="n">
        <v>96</v>
      </c>
      <c r="B100" s="21" t="s">
        <v>1046</v>
      </c>
      <c r="C100" s="29" t="s">
        <v>87</v>
      </c>
      <c r="D100" s="21" t="s">
        <v>1093</v>
      </c>
      <c r="E100" s="21" t="s">
        <v>1094</v>
      </c>
      <c r="F100" s="27" t="s">
        <v>799</v>
      </c>
      <c r="G100" s="21" t="s">
        <v>1095</v>
      </c>
      <c r="H100" s="34"/>
    </row>
    <row r="101" customFormat="false" ht="26.85" hidden="false" customHeight="false" outlineLevel="0" collapsed="false">
      <c r="A101" s="29" t="n">
        <v>97</v>
      </c>
      <c r="B101" s="21" t="s">
        <v>1046</v>
      </c>
      <c r="C101" s="29" t="s">
        <v>110</v>
      </c>
      <c r="D101" s="21" t="s">
        <v>1096</v>
      </c>
      <c r="E101" s="21" t="s">
        <v>1097</v>
      </c>
      <c r="F101" s="27" t="s">
        <v>803</v>
      </c>
      <c r="G101" s="21" t="s">
        <v>1098</v>
      </c>
      <c r="H101" s="34"/>
    </row>
    <row r="102" customFormat="false" ht="26.85" hidden="false" customHeight="false" outlineLevel="0" collapsed="false">
      <c r="A102" s="29" t="n">
        <v>98</v>
      </c>
      <c r="B102" s="21" t="s">
        <v>1046</v>
      </c>
      <c r="C102" s="29" t="s">
        <v>87</v>
      </c>
      <c r="D102" s="21" t="s">
        <v>1099</v>
      </c>
      <c r="E102" s="21" t="s">
        <v>1100</v>
      </c>
      <c r="F102" s="27" t="s">
        <v>826</v>
      </c>
      <c r="G102" s="21" t="s">
        <v>1101</v>
      </c>
      <c r="H102" s="34"/>
    </row>
    <row r="103" customFormat="false" ht="26.85" hidden="false" customHeight="false" outlineLevel="0" collapsed="false">
      <c r="A103" s="29" t="n">
        <v>99</v>
      </c>
      <c r="B103" s="21" t="s">
        <v>1046</v>
      </c>
      <c r="C103" s="29" t="s">
        <v>110</v>
      </c>
      <c r="D103" s="21" t="s">
        <v>1102</v>
      </c>
      <c r="E103" s="21" t="s">
        <v>1103</v>
      </c>
      <c r="F103" s="27" t="s">
        <v>830</v>
      </c>
      <c r="G103" s="21" t="s">
        <v>1104</v>
      </c>
      <c r="H103" s="34"/>
    </row>
    <row r="104" customFormat="false" ht="15" hidden="false" customHeight="false" outlineLevel="0" collapsed="false">
      <c r="A104" s="29" t="n">
        <v>100</v>
      </c>
      <c r="B104" s="21" t="s">
        <v>1046</v>
      </c>
      <c r="C104" s="29" t="s">
        <v>87</v>
      </c>
      <c r="D104" s="21" t="s">
        <v>1105</v>
      </c>
      <c r="E104" s="21" t="s">
        <v>1106</v>
      </c>
      <c r="F104" s="27" t="s">
        <v>799</v>
      </c>
      <c r="G104" s="21" t="s">
        <v>1107</v>
      </c>
      <c r="H104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2026-10-12T14:27:49Z</dcterms:created>
  <dc:creator>openpyxl</dc:creator>
  <dc:description/>
  <dc:language>en-US</dc:language>
  <cp:lastModifiedBy/>
  <dcterms:modified xsi:type="dcterms:W3CDTF">2026-10-12T14:27:49Z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