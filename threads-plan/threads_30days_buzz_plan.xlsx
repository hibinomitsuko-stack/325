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体設計" sheetId="1" state="visible" r:id="rId3"/>
    <sheet name="自己分析まとめ" sheetId="2" state="visible" r:id="rId4"/>
    <sheet name="競合バズ分析" sheetId="3" state="visible" r:id="rId5"/>
    <sheet name="構造テンプレート" sheetId="4" state="visible" r:id="rId6"/>
    <sheet name="悩みリスト" sheetId="5" state="visible" r:id="rId7"/>
    <sheet name="30日投稿スケジュール" sheetId="6" state="visible" r:id="rId8"/>
    <sheet name="効果測定" sheetId="7" state="visible" r:id="rId9"/>
  </sheets>
  <definedNames>
    <definedName function="false" hidden="true" localSheetId="5" name="_xlnm._FilterDatabase" vbProcedure="false">30日投稿スケジュール!$A$5:$V$35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WenQuanYi Zen Hei"/>
            <family val="2"/>
          </rPr>
          <t xml:space="preserve">開始日を入れると、全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WenQuanYi Zen Hei"/>
            <family val="2"/>
          </rPr>
          <t xml:space="preserve">日の日付と曜日が自動で変わります（初期値は仮で</t>
        </r>
        <r>
          <rPr>
            <sz val="10"/>
            <rFont val="Arial"/>
            <family val="2"/>
          </rPr>
          <t xml:space="preserve">2026/10/12</t>
        </r>
        <r>
          <rPr>
            <sz val="10"/>
            <rFont val="WenQuanYi Zen Hei"/>
            <family val="2"/>
          </rPr>
          <t xml:space="preserve">（月））</t>
        </r>
      </text>
    </comment>
  </commentList>
</comments>
</file>

<file path=xl/sharedStrings.xml><?xml version="1.0" encoding="utf-8"?>
<sst xmlns="http://schemas.openxmlformats.org/spreadsheetml/2006/main" count="1038" uniqueCount="782">
  <si>
    <r>
      <rPr>
        <b val="true"/>
        <sz val="14"/>
        <color rgb="FF1F3864"/>
        <rFont val="Meiryo"/>
        <family val="0"/>
        <charset val="1"/>
      </rPr>
      <t xml:space="preserve">Threads×Note 30</t>
    </r>
    <r>
      <rPr>
        <b val="true"/>
        <sz val="14"/>
        <color rgb="FF1F3864"/>
        <rFont val="WenQuanYi Zen Hei"/>
        <family val="2"/>
      </rPr>
      <t xml:space="preserve">日 バズ設計シート｜全体設計</t>
    </r>
  </si>
  <si>
    <r>
      <rPr>
        <i val="true"/>
        <sz val="9"/>
        <color rgb="FF595959"/>
        <rFont val="WenQuanYi Zen Hei"/>
        <family val="2"/>
      </rPr>
      <t xml:space="preserve">自己分析・</t>
    </r>
    <r>
      <rPr>
        <i val="true"/>
        <sz val="9"/>
        <color rgb="FF595959"/>
        <rFont val="Meiryo"/>
        <family val="0"/>
        <charset val="1"/>
      </rPr>
      <t xml:space="preserve">ChatGPT</t>
    </r>
    <r>
      <rPr>
        <i val="true"/>
        <sz val="9"/>
        <color rgb="FF595959"/>
        <rFont val="WenQuanYi Zen Hei"/>
        <family val="2"/>
      </rPr>
      <t xml:space="preserve">分析・競合バズ投稿（ユーザー提供）をもとに作成。黄色セルは運用しながら書き換える入力欄です。</t>
    </r>
  </si>
  <si>
    <t xml:space="preserve">■ コンセプト</t>
  </si>
  <si>
    <r>
      <rPr>
        <b val="true"/>
        <sz val="10"/>
        <rFont val="Meiryo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行コンセプト</t>
    </r>
  </si>
  <si>
    <r>
      <rPr>
        <sz val="10"/>
        <rFont val="WenQuanYi Zen Hei"/>
        <family val="2"/>
      </rPr>
      <t xml:space="preserve">副業と独立に約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万円使っても脱サラできなかった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代が、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苦手から</t>
    </r>
    <r>
      <rPr>
        <sz val="10"/>
        <rFont val="Meiryo"/>
        <family val="0"/>
        <charset val="1"/>
      </rPr>
      <t xml:space="preserve">AI×Threads</t>
    </r>
    <r>
      <rPr>
        <sz val="10"/>
        <rFont val="WenQuanYi Zen Hei"/>
        <family val="2"/>
      </rPr>
      <t xml:space="preserve">で初収益を目指し、同じ副業迷子と一緒に再挑戦する実録。</t>
    </r>
  </si>
  <si>
    <t xml:space="preserve">キャッチコピー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</si>
  <si>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代、まだ稼げてない。でも、もう遠回りはしない。</t>
    </r>
  </si>
  <si>
    <t xml:space="preserve">立ち位置</t>
  </si>
  <si>
    <t xml:space="preserve">先生ではなく「同じ副業迷子の一歩先を歩く人」。成功談ではなく、失敗の地図と次の一歩を渡す。</t>
  </si>
  <si>
    <t xml:space="preserve">ターゲット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</si>
  <si>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が苦手な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代。①副業したいが一歩を踏み出せない人　②何度も副業に失敗したが諦めきれず、今度こそ成果を出したい人</t>
    </r>
  </si>
  <si>
    <t xml:space="preserve">フロント商品</t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</si>
  <si>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代のための副業迷子脱出ロードマップ」</t>
    </r>
    <r>
      <rPr>
        <sz val="10"/>
        <rFont val="Meiryo"/>
        <family val="0"/>
        <charset val="1"/>
      </rPr>
      <t xml:space="preserve">980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2,980</t>
    </r>
    <r>
      <rPr>
        <sz val="10"/>
        <rFont val="WenQuanYi Zen Hei"/>
        <family val="2"/>
      </rPr>
      <t xml:space="preserve">円（まずは</t>
    </r>
    <r>
      <rPr>
        <sz val="10"/>
        <rFont val="Meiryo"/>
        <family val="0"/>
        <charset val="1"/>
      </rPr>
      <t xml:space="preserve">980</t>
    </r>
    <r>
      <rPr>
        <sz val="10"/>
        <rFont val="WenQuanYi Zen Hei"/>
        <family val="2"/>
      </rPr>
      <t xml:space="preserve">円で検証→反応を見て価格・内容を調整）</t>
    </r>
  </si>
  <si>
    <t xml:space="preserve">■ プロフィール</t>
  </si>
  <si>
    <t xml:space="preserve">名前欄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</si>
  <si>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代からの副業やり直し日記｜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</t>
    </r>
    <r>
      <rPr>
        <sz val="10"/>
        <rFont val="Meiryo"/>
        <family val="0"/>
        <charset val="1"/>
      </rPr>
      <t xml:space="preserve">×AI</t>
    </r>
  </si>
  <si>
    <t xml:space="preserve">プロフィール文</t>
  </si>
  <si>
    <r>
      <rPr>
        <sz val="10"/>
        <rFont val="WenQuanYi Zen Hei"/>
        <family val="2"/>
      </rPr>
      <t xml:space="preserve">副業と独立に約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万円使っても脱サラできなかった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代｜ブログ・物販・高額講座で遠回り｜小さい「ゃ」も打てなかった僕が、</t>
    </r>
    <r>
      <rPr>
        <sz val="10"/>
        <rFont val="Meiryo"/>
        <family val="0"/>
        <charset val="1"/>
      </rPr>
      <t xml:space="preserve">AI×Threads</t>
    </r>
    <r>
      <rPr>
        <sz val="10"/>
        <rFont val="WenQuanYi Zen Hei"/>
        <family val="2"/>
      </rPr>
      <t xml:space="preserve">で再挑戦中｜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代の副業迷子へ、失敗談と小さな一歩を毎日共有｜↓遠回りを全部まとめた</t>
    </r>
    <r>
      <rPr>
        <sz val="10"/>
        <rFont val="Meiryo"/>
        <family val="0"/>
        <charset val="1"/>
      </rPr>
      <t xml:space="preserve">Note</t>
    </r>
  </si>
  <si>
    <t xml:space="preserve">リンク</t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</si>
  <si>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代のための副業迷子脱出ロードマップ」</t>
    </r>
  </si>
  <si>
    <t xml:space="preserve">固定投稿</t>
  </si>
  <si>
    <r>
      <rPr>
        <sz val="10"/>
        <rFont val="Meiryo"/>
        <family val="0"/>
        <charset val="1"/>
      </rPr>
      <t xml:space="preserve">Day1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万円の自己紹介）を固定。プロフィールに来た人が最初に読む「物語の入口」にする。</t>
    </r>
  </si>
  <si>
    <r>
      <rPr>
        <b val="true"/>
        <sz val="11"/>
        <color rgb="FF1F3864"/>
        <rFont val="Meiryo"/>
        <family val="0"/>
        <charset val="1"/>
      </rPr>
      <t xml:space="preserve">■ 30</t>
    </r>
    <r>
      <rPr>
        <b val="true"/>
        <sz val="11"/>
        <color rgb="FF1F3864"/>
        <rFont val="WenQuanYi Zen Hei"/>
        <family val="2"/>
      </rPr>
      <t xml:space="preserve">日の狙い</t>
    </r>
  </si>
  <si>
    <t xml:space="preserve">目的</t>
  </si>
  <si>
    <r>
      <rPr>
        <sz val="10"/>
        <rFont val="WenQuanYi Zen Hei"/>
        <family val="2"/>
      </rPr>
      <t xml:space="preserve">毎日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本、拡散力のある投稿で認知を取り、プロフィール→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へ流す。浅い悩み多め（約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割）で間口を広げ、深い悩み（約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割）でファン化する。</t>
    </r>
  </si>
  <si>
    <t xml:space="preserve">配分（自動集計）</t>
  </si>
  <si>
    <t xml:space="preserve">週ごとのテーマ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</si>
  <si>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週目：認知（衝撃の事実・自己紹介）／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週目：共感（本音・家族）／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週目：信頼（実用・保存）／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週目：販売（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導線強化・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日の振り返り）</t>
    </r>
  </si>
  <si>
    <t xml:space="preserve">■ 投稿ルール（全投稿共通）</t>
  </si>
  <si>
    <t xml:space="preserve">冒頭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</si>
  <si>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行目は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字。「衝撃の事実（数字＋自分の失敗）」か「常識破壊（〜ではありません／〜は古い）」に振り切る。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行目で補強し、直後に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行空ける。</t>
    </r>
  </si>
  <si>
    <t xml:space="preserve">分割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</si>
  <si>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投稿目は冒頭〜意外な原因まで。最後に「続きはツリーへ👇」か問いかけで切る。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投稿目（ツリー）に理由・対策・未来・導線を置く（</t>
    </r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型。</t>
    </r>
    <r>
      <rPr>
        <sz val="10"/>
        <rFont val="Meiryo"/>
        <family val="0"/>
        <charset val="1"/>
      </rPr>
      <t xml:space="preserve">1/2</t>
    </r>
    <r>
      <rPr>
        <sz val="10"/>
        <rFont val="WenQuanYi Zen Hei"/>
        <family val="2"/>
      </rPr>
      <t xml:space="preserve">表示がタップを誘う）。</t>
    </r>
  </si>
  <si>
    <t xml:space="preserve">リンクの置き方</t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</si>
  <si>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のリンクは本文に直接貼らず「プロフィールの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」と書く。外部リンク付き投稿は表示が伸びにくいという声があるため（公式発表ではない）。リンクを貼る場合は、ツリーの最後か自分のリプ欄に貼って反応を比較する。</t>
    </r>
  </si>
  <si>
    <t xml:space="preserve">返信</t>
  </si>
  <si>
    <r>
      <rPr>
        <sz val="10"/>
        <rFont val="WenQuanYi Zen Hei"/>
        <family val="2"/>
      </rPr>
      <t xml:space="preserve">投稿後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分は、来たコメントに全部返信する（</t>
    </r>
    <r>
      <rPr>
        <sz val="10"/>
        <rFont val="Meiryo"/>
        <family val="0"/>
        <charset val="1"/>
      </rPr>
      <t xml:space="preserve">mone_gooday</t>
    </r>
    <r>
      <rPr>
        <sz val="10"/>
        <rFont val="WenQuanYi Zen Hei"/>
        <family val="2"/>
      </rPr>
      <t xml:space="preserve">型：作者の返信が会話を生み、表示が伸びる）。返信の中で自然に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を紹介するのは</t>
    </r>
    <r>
      <rPr>
        <sz val="10"/>
        <rFont val="Meiryo"/>
        <family val="0"/>
        <charset val="1"/>
      </rPr>
      <t xml:space="preserve">OK</t>
    </r>
    <r>
      <rPr>
        <sz val="10"/>
        <rFont val="WenQuanYi Zen Hei"/>
        <family val="2"/>
      </rPr>
      <t xml:space="preserve">。</t>
    </r>
  </si>
  <si>
    <t xml:space="preserve">投稿時間（検証用の仮説）</t>
  </si>
  <si>
    <r>
      <rPr>
        <sz val="10"/>
        <rFont val="WenQuanYi Zen Hei"/>
        <family val="2"/>
      </rPr>
      <t xml:space="preserve">平日</t>
    </r>
    <r>
      <rPr>
        <sz val="10"/>
        <rFont val="Meiryo"/>
        <family val="0"/>
        <charset val="1"/>
      </rPr>
      <t xml:space="preserve">20:30</t>
    </r>
    <r>
      <rPr>
        <sz val="10"/>
        <rFont val="WenQuanYi Zen Hei"/>
        <family val="2"/>
      </rPr>
      <t xml:space="preserve">／土日</t>
    </r>
    <r>
      <rPr>
        <sz val="10"/>
        <rFont val="Meiryo"/>
        <family val="0"/>
        <charset val="1"/>
      </rPr>
      <t xml:space="preserve">7:30</t>
    </r>
    <r>
      <rPr>
        <sz val="10"/>
        <rFont val="WenQuanYi Zen Hei"/>
        <family val="2"/>
      </rPr>
      <t xml:space="preserve">から開始。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週目以降は「効果測定」シートで反応の良い時間に寄せる。</t>
    </r>
  </si>
  <si>
    <t xml:space="preserve">■ 守ること（信頼を落とさないため）</t>
  </si>
  <si>
    <r>
      <rPr>
        <b val="true"/>
        <sz val="10"/>
        <rFont val="Meiryo"/>
        <family val="0"/>
        <charset val="1"/>
      </rPr>
      <t xml:space="preserve">800</t>
    </r>
    <r>
      <rPr>
        <b val="true"/>
        <sz val="10"/>
        <rFont val="WenQuanYi Zen Hei"/>
        <family val="2"/>
      </rPr>
      <t xml:space="preserve">万円の表記</t>
    </r>
  </si>
  <si>
    <r>
      <rPr>
        <sz val="10"/>
        <rFont val="WenQuanYi Zen Hei"/>
        <family val="2"/>
      </rPr>
      <t xml:space="preserve">清掃業の独立（フランチャイズ等で約</t>
    </r>
    <r>
      <rPr>
        <sz val="10"/>
        <rFont val="Meiryo"/>
        <family val="0"/>
        <charset val="1"/>
      </rPr>
      <t xml:space="preserve">400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500</t>
    </r>
    <r>
      <rPr>
        <sz val="10"/>
        <rFont val="WenQuanYi Zen Hei"/>
        <family val="2"/>
      </rPr>
      <t xml:space="preserve">万円）を含む総額。必ず「副業と独立に」「合計約」と書き、ネット副業の教材費だけで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万円と誤解されないようにする。</t>
    </r>
  </si>
  <si>
    <t xml:space="preserve">実績の書き方</t>
  </si>
  <si>
    <r>
      <rPr>
        <sz val="10"/>
        <rFont val="WenQuanYi Zen Hei"/>
        <family val="2"/>
      </rPr>
      <t xml:space="preserve">まだ出ていない収益・販売数は書かない。「こんなに買われる」というスタンスは、実際の販売数が出たら</t>
    </r>
    <r>
      <rPr>
        <sz val="10"/>
        <rFont val="Meiryo"/>
        <family val="0"/>
        <charset val="1"/>
      </rPr>
      <t xml:space="preserve">Day16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Day30</t>
    </r>
    <r>
      <rPr>
        <sz val="10"/>
        <rFont val="WenQuanYi Zen Hei"/>
        <family val="2"/>
      </rPr>
      <t xml:space="preserve">の冒頭に実数で入れる（例：「小さい『ゃ』も打てなかった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が、初月で【　】部売れました」）。</t>
    </r>
  </si>
  <si>
    <t xml:space="preserve">会社名・人名</t>
  </si>
  <si>
    <t xml:space="preserve">過去に契約・解約したサービス名や講師名は出さない。「ある案件」「ある講座」と書く。</t>
  </si>
  <si>
    <t xml:space="preserve">根拠のない権威づけ</t>
  </si>
  <si>
    <r>
      <rPr>
        <sz val="10"/>
        <rFont val="WenQuanYi Zen Hei"/>
        <family val="2"/>
      </rPr>
      <t xml:space="preserve">競合の「脳科学でも証明されている」型は使わず、「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年日記を続けて分かった」など自分の体験を根拠にする。</t>
    </r>
  </si>
  <si>
    <t xml:space="preserve">年齢表記</t>
  </si>
  <si>
    <r>
      <rPr>
        <sz val="10"/>
        <rFont val="WenQuanYi Zen Hei"/>
        <family val="2"/>
      </rPr>
      <t xml:space="preserve">このシートは「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代」で統一（</t>
    </r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分析の最終コンセプトに合わせた）。実年齢と違う場合は、全シートで「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代」を置換してください。</t>
    </r>
  </si>
  <si>
    <r>
      <rPr>
        <b val="true"/>
        <sz val="10"/>
        <rFont val="Meiryo"/>
        <family val="0"/>
        <charset val="1"/>
      </rPr>
      <t xml:space="preserve">Note</t>
    </r>
    <r>
      <rPr>
        <b val="true"/>
        <sz val="10"/>
        <rFont val="WenQuanYi Zen Hei"/>
        <family val="2"/>
      </rPr>
      <t xml:space="preserve">公開前</t>
    </r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</si>
  <si>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がまだ無い期間は、ツリー最後の一文を「フォローして続きを見届けてください」に差し替える。</t>
    </r>
  </si>
  <si>
    <t xml:space="preserve">自己分析まとめ｜投稿の材料になる実体験</t>
  </si>
  <si>
    <r>
      <rPr>
        <i val="true"/>
        <sz val="9"/>
        <color rgb="FF595959"/>
        <rFont val="WenQuanYi Zen Hei"/>
        <family val="2"/>
      </rPr>
      <t xml:space="preserve">ユーザーの自己分析と</t>
    </r>
    <r>
      <rPr>
        <i val="true"/>
        <sz val="9"/>
        <color rgb="FF595959"/>
        <rFont val="Meiryo"/>
        <family val="0"/>
        <charset val="1"/>
      </rPr>
      <t xml:space="preserve">ChatGPT</t>
    </r>
    <r>
      <rPr>
        <i val="true"/>
        <sz val="9"/>
        <color rgb="FF595959"/>
        <rFont val="WenQuanYi Zen Hei"/>
        <family val="2"/>
      </rPr>
      <t xml:space="preserve">とのやり取りから抽出。投稿では事実の範囲内で使う（盛らない）。</t>
    </r>
  </si>
  <si>
    <t xml:space="preserve">区分</t>
  </si>
  <si>
    <t xml:space="preserve">素材（事実）</t>
  </si>
  <si>
    <t xml:space="preserve">投稿での使い方</t>
  </si>
  <si>
    <r>
      <rPr>
        <b val="true"/>
        <sz val="10"/>
        <color rgb="FFFFFFFF"/>
        <rFont val="WenQuanYi Zen Hei"/>
        <family val="2"/>
      </rPr>
      <t xml:space="preserve">使用</t>
    </r>
    <r>
      <rPr>
        <b val="true"/>
        <sz val="10"/>
        <color rgb="FFFFFFFF"/>
        <rFont val="Meiryo"/>
        <family val="0"/>
        <charset val="1"/>
      </rPr>
      <t xml:space="preserve">Day</t>
    </r>
  </si>
  <si>
    <t xml:space="preserve">表現上の注意</t>
  </si>
  <si>
    <t xml:space="preserve">お金・失敗</t>
  </si>
  <si>
    <r>
      <rPr>
        <sz val="10"/>
        <rFont val="WenQuanYi Zen Hei"/>
        <family val="2"/>
      </rPr>
      <t xml:space="preserve">副業と独立に合計約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万円（清掃業</t>
    </r>
    <r>
      <rPr>
        <sz val="10"/>
        <rFont val="Meiryo"/>
        <family val="0"/>
        <charset val="1"/>
      </rPr>
      <t xml:space="preserve">FC</t>
    </r>
    <r>
      <rPr>
        <sz val="10"/>
        <rFont val="WenQuanYi Zen Hei"/>
        <family val="2"/>
      </rPr>
      <t xml:space="preserve">約</t>
    </r>
    <r>
      <rPr>
        <sz val="10"/>
        <rFont val="Meiryo"/>
        <family val="0"/>
        <charset val="1"/>
      </rPr>
      <t xml:space="preserve">400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500</t>
    </r>
    <r>
      <rPr>
        <sz val="10"/>
        <rFont val="WenQuanYi Zen Hei"/>
        <family val="2"/>
      </rPr>
      <t xml:space="preserve">万円、コンサル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件</t>
    </r>
    <r>
      <rPr>
        <sz val="10"/>
        <rFont val="Meiryo"/>
        <family val="0"/>
        <charset val="1"/>
      </rPr>
      <t xml:space="preserve">×30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40</t>
    </r>
    <r>
      <rPr>
        <sz val="10"/>
        <rFont val="WenQuanYi Zen Hei"/>
        <family val="2"/>
      </rPr>
      <t xml:space="preserve">万円、</t>
    </r>
    <r>
      <rPr>
        <sz val="10"/>
        <rFont val="Meiryo"/>
        <family val="0"/>
        <charset val="1"/>
      </rPr>
      <t xml:space="preserve">SNS</t>
    </r>
    <r>
      <rPr>
        <sz val="10"/>
        <rFont val="WenQuanYi Zen Hei"/>
        <family val="2"/>
      </rPr>
      <t xml:space="preserve">運用講座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万円、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万円前後の情報商材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約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）</t>
    </r>
  </si>
  <si>
    <t xml:space="preserve">最強の衝撃フック。固定投稿・節目の投稿だけで使う</t>
  </si>
  <si>
    <t xml:space="preserve">1, 21, 24, 26, 30</t>
  </si>
  <si>
    <t xml:space="preserve">毎回使うと刺激頼みになる。内訳を聞かれたら正直に答える</t>
  </si>
  <si>
    <r>
      <rPr>
        <sz val="10"/>
        <rFont val="WenQuanYi Zen Hei"/>
        <family val="2"/>
      </rPr>
      <t xml:space="preserve">ブログを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年。朝早く起き、夜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時まで。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のない</t>
    </r>
    <r>
      <rPr>
        <sz val="10"/>
        <rFont val="Meiryo"/>
        <family val="0"/>
        <charset val="1"/>
      </rPr>
      <t xml:space="preserve">17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18</t>
    </r>
    <r>
      <rPr>
        <sz val="10"/>
        <rFont val="WenQuanYi Zen Hei"/>
        <family val="2"/>
      </rPr>
      <t xml:space="preserve">年前。成果は出ず</t>
    </r>
  </si>
  <si>
    <t xml:space="preserve">努力の量より場所、の根拠</t>
  </si>
  <si>
    <t xml:space="preserve">1, 19</t>
  </si>
  <si>
    <t xml:space="preserve">当時のコンサル名は出さない</t>
  </si>
  <si>
    <r>
      <rPr>
        <sz val="10"/>
        <rFont val="Meiryo"/>
        <family val="0"/>
        <charset val="1"/>
      </rPr>
      <t xml:space="preserve">eBay</t>
    </r>
    <r>
      <rPr>
        <sz val="10"/>
        <rFont val="WenQuanYi Zen Hei"/>
        <family val="2"/>
      </rPr>
      <t xml:space="preserve">輸出は英語で挫折。カメラ転売は張り付きのリサーチ競争で継続できず</t>
    </r>
  </si>
  <si>
    <t xml:space="preserve">「苦手で戦うと続かない」の具体例</t>
  </si>
  <si>
    <t xml:space="preserve">7, 11, 19</t>
  </si>
  <si>
    <t xml:space="preserve">清掃業で独立→生活できず廃業。退去清掃を妻と両親に手伝ってもらった</t>
  </si>
  <si>
    <t xml:space="preserve">家族への申し訳なさ、独立の怖さ</t>
  </si>
  <si>
    <t xml:space="preserve">1, 19, 20</t>
  </si>
  <si>
    <t xml:space="preserve">最近もアフィリエイト案件をサポート不足で解約</t>
  </si>
  <si>
    <t xml:space="preserve">無料相談・契約前チェックの根拠</t>
  </si>
  <si>
    <r>
      <rPr>
        <sz val="10"/>
        <rFont val="Meiryo"/>
        <family val="0"/>
        <charset val="1"/>
      </rPr>
      <t xml:space="preserve">22</t>
    </r>
    <r>
      <rPr>
        <sz val="10"/>
        <rFont val="WenQuanYi Zen Hei"/>
        <family val="2"/>
      </rPr>
      <t xml:space="preserve">（冒頭案③）</t>
    </r>
  </si>
  <si>
    <t xml:space="preserve">サービス名は出さない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</si>
  <si>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AI</t>
    </r>
  </si>
  <si>
    <t xml:space="preserve">小さい「ゃ」「ゅ」の打ち方すら知らず、自分で調べて覚えた。ブログのおかげでタイピングができるようになった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</si>
  <si>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苦手層への最大の共感フック</t>
    </r>
  </si>
  <si>
    <t xml:space="preserve">2, 14</t>
  </si>
  <si>
    <t xml:space="preserve">聞く前にまず自分で調べ、「どこまでやったか」を申告してから質問する習慣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</si>
  <si>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苦手でも前に進む方法として紹介</t>
    </r>
  </si>
  <si>
    <t xml:space="preserve">2</t>
  </si>
  <si>
    <t xml:space="preserve">仕事</t>
  </si>
  <si>
    <r>
      <rPr>
        <sz val="10"/>
        <rFont val="WenQuanYi Zen Hei"/>
        <family val="2"/>
      </rPr>
      <t xml:space="preserve">年齢を理由に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社に断られた。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ヶ月仕事がなかった</t>
    </r>
  </si>
  <si>
    <t xml:space="preserve">雇用不安・年齢の壁の投稿</t>
  </si>
  <si>
    <t xml:space="preserve">3</t>
  </si>
  <si>
    <t xml:space="preserve">「連続」とは書かない（事実の範囲で）</t>
  </si>
  <si>
    <r>
      <rPr>
        <sz val="10"/>
        <rFont val="WenQuanYi Zen Hei"/>
        <family val="2"/>
      </rPr>
      <t xml:space="preserve">化粧品工場の派遣。マスク・帽子・長袖で目しか出ない服装、夏は暑い。契約は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月末まで</t>
    </r>
  </si>
  <si>
    <r>
      <rPr>
        <sz val="10"/>
        <rFont val="WenQuanYi Zen Hei"/>
        <family val="2"/>
      </rPr>
      <t xml:space="preserve">生活が見える描写（</t>
    </r>
    <r>
      <rPr>
        <sz val="10"/>
        <rFont val="Meiryo"/>
        <family val="0"/>
        <charset val="1"/>
      </rPr>
      <t xml:space="preserve">yuko_insta_t</t>
    </r>
    <r>
      <rPr>
        <sz val="10"/>
        <rFont val="WenQuanYi Zen Hei"/>
        <family val="2"/>
      </rPr>
      <t xml:space="preserve">型）</t>
    </r>
  </si>
  <si>
    <t xml:space="preserve">17</t>
  </si>
  <si>
    <t xml:space="preserve">勤務先が特定される情報は書かない</t>
  </si>
  <si>
    <t xml:space="preserve">フォークリフトの運転技術で「正社員の人でしょ」と驚かれた</t>
  </si>
  <si>
    <t xml:space="preserve">体はまだ動く＝年齢で落とされる悔しさ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</si>
  <si>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（冒頭案③）</t>
    </r>
  </si>
  <si>
    <r>
      <rPr>
        <sz val="10"/>
        <rFont val="WenQuanYi Zen Hei"/>
        <family val="2"/>
      </rPr>
      <t xml:space="preserve">ダスキン新宿営業所で新人部門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位（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代・東京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</si>
  <si>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「営業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位でもネットでは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年以上結果が出なかった」ギャップ</t>
    </r>
  </si>
  <si>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（冒頭案③）</t>
    </r>
  </si>
  <si>
    <r>
      <rPr>
        <sz val="10"/>
        <rFont val="Meiryo"/>
        <family val="0"/>
        <charset val="1"/>
      </rPr>
      <t xml:space="preserve">GS</t>
    </r>
    <r>
      <rPr>
        <sz val="10"/>
        <rFont val="WenQuanYi Zen Hei"/>
        <family val="2"/>
      </rPr>
      <t xml:space="preserve">、製造、営業、清掃自営、介護、ビル管理、フォークリフト。職業訓練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回</t>
    </r>
  </si>
  <si>
    <t xml:space="preserve">転職の多さ＝困りごとを知っている財産</t>
  </si>
  <si>
    <t xml:space="preserve">20</t>
  </si>
  <si>
    <t xml:space="preserve">家族</t>
  </si>
  <si>
    <r>
      <rPr>
        <sz val="10"/>
        <rFont val="WenQuanYi Zen Hei"/>
        <family val="2"/>
      </rPr>
      <t xml:space="preserve">妻に「苦手な分野に行くから成果が出ない」と言われた。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の本を買ってきたのは妻。相談会も最初は反対→「信用できる」と言ってくれた</t>
    </r>
  </si>
  <si>
    <r>
      <rPr>
        <sz val="10"/>
        <rFont val="WenQuanYi Zen Hei"/>
        <family val="2"/>
      </rPr>
      <t xml:space="preserve">家族の一言から始まる型（</t>
    </r>
    <r>
      <rPr>
        <sz val="10"/>
        <rFont val="Meiryo"/>
        <family val="0"/>
        <charset val="1"/>
      </rPr>
      <t xml:space="preserve">saori</t>
    </r>
    <r>
      <rPr>
        <sz val="10"/>
        <rFont val="WenQuanYi Zen Hei"/>
        <family val="2"/>
      </rPr>
      <t xml:space="preserve">型）</t>
    </r>
  </si>
  <si>
    <t xml:space="preserve">11</t>
  </si>
  <si>
    <t xml:space="preserve">妻の言葉は実際の言葉に近づけて調整</t>
  </si>
  <si>
    <t xml:space="preserve">兄は外資系企業で副社長まで。キャンピングカー所有。兄への金銭的コンプレックス</t>
  </si>
  <si>
    <t xml:space="preserve">比較の苦しさ→昨日の自分と比べる</t>
  </si>
  <si>
    <t xml:space="preserve">14</t>
  </si>
  <si>
    <t xml:space="preserve">兄の会社名は出さない</t>
  </si>
  <si>
    <r>
      <rPr>
        <sz val="10"/>
        <rFont val="WenQuanYi Zen Hei"/>
        <family val="2"/>
      </rPr>
      <t xml:space="preserve">同級生：「あと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年はこの会社で」／自営の建築士は年金が不安</t>
    </r>
  </si>
  <si>
    <t xml:space="preserve">同世代の焦り</t>
  </si>
  <si>
    <r>
      <rPr>
        <sz val="10"/>
        <rFont val="Meiryo"/>
        <family val="0"/>
        <charset val="1"/>
      </rPr>
      <t xml:space="preserve">14</t>
    </r>
    <r>
      <rPr>
        <sz val="10"/>
        <rFont val="WenQuanYi Zen Hei"/>
        <family val="2"/>
      </rPr>
      <t xml:space="preserve">（冒頭案③）</t>
    </r>
  </si>
  <si>
    <t xml:space="preserve">修繕費・保険・娘の専門学校の学費が残る。妻と旅行に行きたい</t>
  </si>
  <si>
    <t xml:space="preserve">稼ぎたい理由（等身大の夢）</t>
  </si>
  <si>
    <t xml:space="preserve">23</t>
  </si>
  <si>
    <t xml:space="preserve">強み</t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</si>
  <si>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年以上日記を継続（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年→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年→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年日記の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冊目）。見返して助けられた経験が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回</t>
    </r>
  </si>
  <si>
    <r>
      <rPr>
        <sz val="10"/>
        <rFont val="WenQuanYi Zen Hei"/>
        <family val="2"/>
      </rPr>
      <t xml:space="preserve">継続・記録の権威づけ（</t>
    </r>
    <r>
      <rPr>
        <sz val="10"/>
        <rFont val="Meiryo"/>
        <family val="0"/>
        <charset val="1"/>
      </rPr>
      <t xml:space="preserve">mone_gooday</t>
    </r>
    <r>
      <rPr>
        <sz val="10"/>
        <rFont val="WenQuanYi Zen Hei"/>
        <family val="2"/>
      </rPr>
      <t xml:space="preserve">型の「根拠」を自分の体験に置き換え）</t>
    </r>
  </si>
  <si>
    <t xml:space="preserve">6, 9, 25</t>
  </si>
  <si>
    <t xml:space="preserve">サッカー：左ウイング。ラインを割るまで諦めない。中学で中国大会</t>
  </si>
  <si>
    <r>
      <rPr>
        <sz val="10"/>
        <rFont val="WenQuanYi Zen Hei"/>
        <family val="2"/>
      </rPr>
      <t xml:space="preserve">余韻型（</t>
    </r>
    <r>
      <rPr>
        <sz val="10"/>
        <rFont val="Meiryo"/>
        <family val="0"/>
        <charset val="1"/>
      </rPr>
      <t xml:space="preserve">320_reishi</t>
    </r>
    <r>
      <rPr>
        <sz val="10"/>
        <rFont val="WenQuanYi Zen Hei"/>
        <family val="2"/>
      </rPr>
      <t xml:space="preserve">型）の物語</t>
    </r>
  </si>
  <si>
    <t xml:space="preserve">28</t>
  </si>
  <si>
    <t xml:space="preserve">価値観</t>
  </si>
  <si>
    <t xml:space="preserve">「言い訳をするのが一番嫌い。言い訳するなら別の方法を考える」</t>
  </si>
  <si>
    <t xml:space="preserve">一言引用型の名言として使う</t>
  </si>
  <si>
    <t xml:space="preserve">3, 28</t>
  </si>
  <si>
    <t xml:space="preserve">人と比べず昨日の自分を超える／今日できることに集中</t>
  </si>
  <si>
    <t xml:space="preserve">比較・焦りの投稿の結論</t>
  </si>
  <si>
    <t xml:space="preserve">講座は詐欺とは言えない。成果を出した人もいた。人のせいにしない</t>
  </si>
  <si>
    <t xml:space="preserve">誠実さで信頼を取る逆張り</t>
  </si>
  <si>
    <t xml:space="preserve">5, 26</t>
  </si>
  <si>
    <t xml:space="preserve">競合バズ分析｜反応の大きい投稿の要素と構造</t>
  </si>
  <si>
    <r>
      <rPr>
        <i val="true"/>
        <sz val="9"/>
        <color rgb="FF595959"/>
        <rFont val="WenQuanYi Zen Hei"/>
        <family val="2"/>
      </rPr>
      <t xml:space="preserve">数値はユーザー提供（</t>
    </r>
    <r>
      <rPr>
        <i val="true"/>
        <sz val="9"/>
        <color rgb="FF595959"/>
        <rFont val="Meiryo"/>
        <family val="0"/>
        <charset val="1"/>
      </rPr>
      <t xml:space="preserve">Threads</t>
    </r>
    <r>
      <rPr>
        <i val="true"/>
        <sz val="9"/>
        <color rgb="FF595959"/>
        <rFont val="WenQuanYi Zen Hei"/>
        <family val="2"/>
      </rPr>
      <t xml:space="preserve">監視投稿：</t>
    </r>
    <r>
      <rPr>
        <i val="true"/>
        <sz val="9"/>
        <color rgb="FF595959"/>
        <rFont val="Meiryo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年</t>
    </r>
    <r>
      <rPr>
        <i val="true"/>
        <sz val="9"/>
        <color rgb="FF595959"/>
        <rFont val="Meiryo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月</t>
    </r>
    <r>
      <rPr>
        <i val="true"/>
        <sz val="9"/>
        <color rgb="FF595959"/>
        <rFont val="Meiryo"/>
        <family val="0"/>
        <charset val="1"/>
      </rPr>
      <t xml:space="preserve">8</t>
    </r>
    <r>
      <rPr>
        <i val="true"/>
        <sz val="9"/>
        <color rgb="FF595959"/>
        <rFont val="WenQuanYi Zen Hei"/>
        <family val="2"/>
      </rPr>
      <t xml:space="preserve">日時点／共有リンクの閲覧数表示）。他人の閲覧数は通常非公開のため「判定」は推定。</t>
    </r>
  </si>
  <si>
    <t xml:space="preserve">重要度</t>
  </si>
  <si>
    <t xml:space="preserve">アカウント</t>
  </si>
  <si>
    <t xml:space="preserve">投稿テーマ／冒頭</t>
  </si>
  <si>
    <t xml:space="preserve">いいね</t>
  </si>
  <si>
    <t xml:space="preserve">再投稿</t>
  </si>
  <si>
    <r>
      <rPr>
        <b val="true"/>
        <sz val="10"/>
        <color rgb="FFFFFFFF"/>
        <rFont val="WenQuanYi Zen Hei"/>
        <family val="2"/>
      </rPr>
      <t xml:space="preserve">閲覧数（表示 </t>
    </r>
    <r>
      <rPr>
        <b val="true"/>
        <sz val="10"/>
        <color rgb="FFFFFFFF"/>
        <rFont val="Meiryo"/>
        <family val="0"/>
        <charset val="1"/>
      </rPr>
      <t xml:space="preserve">or </t>
    </r>
    <r>
      <rPr>
        <b val="true"/>
        <sz val="10"/>
        <color rgb="FFFFFFFF"/>
        <rFont val="WenQuanYi Zen Hei"/>
        <family val="2"/>
      </rPr>
      <t xml:space="preserve">判定）</t>
    </r>
  </si>
  <si>
    <t xml:space="preserve">刺さった要素</t>
  </si>
  <si>
    <t xml:space="preserve">構造の分解</t>
  </si>
  <si>
    <t xml:space="preserve">コメント欄の傾向</t>
  </si>
  <si>
    <t xml:space="preserve">自分への転用（使う型）</t>
  </si>
  <si>
    <t xml:space="preserve">URL</t>
  </si>
  <si>
    <t xml:space="preserve">最重要</t>
  </si>
  <si>
    <t xml:space="preserve">saori.bihada.recipe</t>
  </si>
  <si>
    <r>
      <rPr>
        <sz val="10"/>
        <rFont val="Meiryo"/>
        <family val="0"/>
        <charset val="1"/>
      </rPr>
      <t xml:space="preserve">54</t>
    </r>
    <r>
      <rPr>
        <sz val="10"/>
        <rFont val="WenQuanYi Zen Hei"/>
        <family val="2"/>
      </rPr>
      <t xml:space="preserve">歳・超アナログ・家族に笑われた</t>
    </r>
  </si>
  <si>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万以上が極めて濃厚（判定）</t>
    </r>
  </si>
  <si>
    <t xml:space="preserve">年齢、家族からの否定、悔しさ、再挑戦</t>
  </si>
  <si>
    <t xml:space="preserve">他者の一言→弱点の告白→それでも諦めない→読者への問い</t>
  </si>
  <si>
    <t xml:space="preserve">（ユーザー提供の範囲では未取得）</t>
  </si>
  <si>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型：</t>
    </r>
    <r>
      <rPr>
        <sz val="10"/>
        <rFont val="Meiryo"/>
        <family val="0"/>
        <charset val="1"/>
      </rPr>
      <t xml:space="preserve">Day3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社に断られた）、</t>
    </r>
    <r>
      <rPr>
        <sz val="10"/>
        <rFont val="Meiryo"/>
        <family val="0"/>
        <charset val="1"/>
      </rPr>
      <t xml:space="preserve">Day11</t>
    </r>
    <r>
      <rPr>
        <sz val="10"/>
        <rFont val="WenQuanYi Zen Hei"/>
        <family val="2"/>
      </rPr>
      <t xml:space="preserve">（妻の一言）、</t>
    </r>
    <r>
      <rPr>
        <sz val="10"/>
        <rFont val="Meiryo"/>
        <family val="0"/>
        <charset val="1"/>
      </rPr>
      <t xml:space="preserve">Day14</t>
    </r>
    <r>
      <rPr>
        <sz val="10"/>
        <rFont val="WenQuanYi Zen Hei"/>
        <family val="2"/>
      </rPr>
      <t xml:space="preserve">（兄との比較）</t>
    </r>
  </si>
  <si>
    <t xml:space="preserve">https://www.threads.com/@saori.bihada.recipe/post/DMgqXnaT9bg</t>
  </si>
  <si>
    <t xml:space="preserve">tomoyo_pc_web</t>
  </si>
  <si>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代女性は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が苦手なのではなく…</t>
    </r>
  </si>
  <si>
    <t xml:space="preserve">非公開</t>
  </si>
  <si>
    <t xml:space="preserve">「苦手」の定義を覆して読者を救う。返信数がいいねに近い＝語りたくなる</t>
  </si>
  <si>
    <t xml:space="preserve">常識の否定（〜なのではなく）→本当の原因→読者の安堵</t>
  </si>
  <si>
    <t xml:space="preserve">（未取得）</t>
  </si>
  <si>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型：</t>
    </r>
    <r>
      <rPr>
        <sz val="10"/>
        <rFont val="Meiryo"/>
        <family val="0"/>
        <charset val="1"/>
      </rPr>
      <t xml:space="preserve">Day2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18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27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苦手層の救済）</t>
    </r>
  </si>
  <si>
    <t xml:space="preserve">https://www.threads.com/@tomoyo_pc_web/post/DU7GwvLj7KU</t>
  </si>
  <si>
    <t xml:space="preserve">高</t>
  </si>
  <si>
    <t xml:space="preserve">hikari.mama.09</t>
  </si>
  <si>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代になってバカになったのかと心配</t>
    </r>
  </si>
  <si>
    <t xml:space="preserve">人に言いにくい不安を短く告白</t>
  </si>
  <si>
    <t xml:space="preserve">短い告白→「これって私だけ？」→返信しやすい</t>
  </si>
  <si>
    <r>
      <rPr>
        <sz val="10"/>
        <rFont val="Meiryo"/>
        <family val="0"/>
        <charset val="1"/>
      </rPr>
      <t xml:space="preserve">E</t>
    </r>
    <r>
      <rPr>
        <sz val="10"/>
        <rFont val="WenQuanYi Zen Hei"/>
        <family val="2"/>
      </rPr>
      <t xml:space="preserve">型：</t>
    </r>
    <r>
      <rPr>
        <sz val="10"/>
        <rFont val="Meiryo"/>
        <family val="0"/>
        <charset val="1"/>
      </rPr>
      <t xml:space="preserve">Day7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23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29</t>
    </r>
    <r>
      <rPr>
        <sz val="10"/>
        <rFont val="WenQuanYi Zen Hei"/>
        <family val="2"/>
      </rPr>
      <t xml:space="preserve">（参加型）</t>
    </r>
  </si>
  <si>
    <t xml:space="preserve">https://www.threads.com/@hikari.mama.09/post/DbeTVpmk9Mr</t>
  </si>
  <si>
    <t xml:space="preserve">aigogo1701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</si>
  <si>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副業は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代のほうが有利</t>
    </r>
  </si>
  <si>
    <t xml:space="preserve">年齢の弱みを経験という強みに反転</t>
  </si>
  <si>
    <t xml:space="preserve">今さら無理を否定→人生経験を武器に変える</t>
  </si>
  <si>
    <r>
      <rPr>
        <sz val="10"/>
        <rFont val="Meiryo"/>
        <family val="0"/>
        <charset val="1"/>
      </rPr>
      <t xml:space="preserve">Day16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（失敗・転職歴を強みに）</t>
    </r>
  </si>
  <si>
    <t xml:space="preserve">https://www.threads.com/@aigogo1701/post/DSM-60nATHk</t>
  </si>
  <si>
    <t xml:space="preserve">yuko_insta_t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</si>
  <si>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歳で朝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時間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作業</t>
    </r>
  </si>
  <si>
    <t xml:space="preserve">年齢・時間・過去の不安・途中成果</t>
  </si>
  <si>
    <t xml:space="preserve">生活が見える数字＋小さな進歩</t>
  </si>
  <si>
    <r>
      <rPr>
        <sz val="10"/>
        <rFont val="Meiryo"/>
        <family val="0"/>
        <charset val="1"/>
      </rPr>
      <t xml:space="preserve">Day17</t>
    </r>
    <r>
      <rPr>
        <sz val="10"/>
        <rFont val="WenQuanYi Zen Hei"/>
        <family val="2"/>
      </rPr>
      <t xml:space="preserve">（派遣の現場描写）、</t>
    </r>
    <r>
      <rPr>
        <sz val="10"/>
        <rFont val="Meiryo"/>
        <family val="0"/>
        <charset val="1"/>
      </rPr>
      <t xml:space="preserve">Day30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日の数字公開）</t>
    </r>
  </si>
  <si>
    <t xml:space="preserve">https://www.threads.com/@yuko_insta_t/post/DY-jMtdCfwk</t>
  </si>
  <si>
    <t xml:space="preserve">中〜高</t>
  </si>
  <si>
    <t xml:space="preserve">anata_mo_nihon_ichi</t>
  </si>
  <si>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代はもう時間がない</t>
    </r>
  </si>
  <si>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万以上の可能性あり（判定）</t>
    </r>
  </si>
  <si>
    <t xml:space="preserve">残り時間への焦り</t>
  </si>
  <si>
    <t xml:space="preserve">焦り→今日やる小さな一歩</t>
  </si>
  <si>
    <r>
      <rPr>
        <sz val="10"/>
        <rFont val="Meiryo"/>
        <family val="0"/>
        <charset val="1"/>
      </rPr>
      <t xml:space="preserve">Day8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13</t>
    </r>
    <r>
      <rPr>
        <sz val="10"/>
        <rFont val="WenQuanYi Zen Hei"/>
        <family val="2"/>
      </rPr>
      <t xml:space="preserve">（小さく始める）</t>
    </r>
  </si>
  <si>
    <t xml:space="preserve">https://www.threads.com/@anata_mo_nihon_ichi/post/DY_waRoEnld</t>
  </si>
  <si>
    <t xml:space="preserve">中</t>
  </si>
  <si>
    <t xml:space="preserve">sorakapu2710</t>
  </si>
  <si>
    <r>
      <rPr>
        <sz val="10"/>
        <rFont val="Meiryo"/>
        <family val="0"/>
        <charset val="1"/>
      </rPr>
      <t xml:space="preserve">40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代で副業している人への質問</t>
    </r>
  </si>
  <si>
    <t xml:space="preserve">回答しやすい市場調査型</t>
  </si>
  <si>
    <t xml:space="preserve">副業歴・失敗理由・月いくら欲しいかを聞く</t>
  </si>
  <si>
    <r>
      <rPr>
        <sz val="10"/>
        <rFont val="Meiryo"/>
        <family val="0"/>
        <charset val="1"/>
      </rPr>
      <t xml:space="preserve">Day7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23</t>
    </r>
    <r>
      <rPr>
        <sz val="10"/>
        <rFont val="WenQuanYi Zen Hei"/>
        <family val="2"/>
      </rPr>
      <t xml:space="preserve">（質問でコメントを集め、悩みを収集）</t>
    </r>
  </si>
  <si>
    <t xml:space="preserve">https://www.threads.com/@sorakapu2710/post/C8yQAR0SNij</t>
  </si>
  <si>
    <t xml:space="preserve">最重要（構造）</t>
  </si>
  <si>
    <t xml:space="preserve">320_reishi</t>
  </si>
  <si>
    <t xml:space="preserve">後ろの人のためにドアを押さえる人、いますか？／祖母「そういう人は無自覚に徳を積んどるよ」</t>
  </si>
  <si>
    <r>
      <rPr>
        <sz val="10"/>
        <rFont val="Meiryo"/>
        <family val="0"/>
        <charset val="1"/>
      </rPr>
      <t xml:space="preserve">132,890</t>
    </r>
    <r>
      <rPr>
        <sz val="10"/>
        <rFont val="WenQuanYi Zen Hei"/>
        <family val="2"/>
      </rPr>
      <t xml:space="preserve">（表示）</t>
    </r>
  </si>
  <si>
    <r>
      <rPr>
        <sz val="10"/>
        <rFont val="WenQuanYi Zen Hei"/>
        <family val="2"/>
      </rPr>
      <t xml:space="preserve">誰でも「</t>
    </r>
    <r>
      <rPr>
        <sz val="10"/>
        <rFont val="Meiryo"/>
        <family val="0"/>
        <charset val="1"/>
      </rPr>
      <t xml:space="preserve">YES</t>
    </r>
    <r>
      <rPr>
        <sz val="10"/>
        <rFont val="WenQuanYi Zen Hei"/>
        <family val="2"/>
      </rPr>
      <t xml:space="preserve">」と答えられる問い＋身近な人の一言＋自分を肯定できる結論。「、、、」の余韻</t>
    </r>
  </si>
  <si>
    <r>
      <rPr>
        <sz val="10"/>
        <rFont val="WenQuanYi Zen Hei"/>
        <family val="2"/>
      </rPr>
      <t xml:space="preserve">問いかけ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行→身近な人の言葉の引用→余韻で切る（</t>
    </r>
    <r>
      <rPr>
        <sz val="10"/>
        <rFont val="Meiryo"/>
        <family val="0"/>
        <charset val="1"/>
      </rPr>
      <t xml:space="preserve">1/2</t>
    </r>
    <r>
      <rPr>
        <sz val="10"/>
        <rFont val="WenQuanYi Zen Hei"/>
        <family val="2"/>
      </rPr>
      <t xml:space="preserve">）→</t>
    </r>
    <r>
      <rPr>
        <sz val="10"/>
        <rFont val="Meiryo"/>
        <family val="0"/>
        <charset val="1"/>
      </rPr>
      <t xml:space="preserve">2/2</t>
    </r>
    <r>
      <rPr>
        <sz val="10"/>
        <rFont val="WenQuanYi Zen Hei"/>
        <family val="2"/>
      </rPr>
      <t xml:space="preserve">で意味づけ</t>
    </r>
  </si>
  <si>
    <t xml:space="preserve">「普通にやってる」「徳を積んでたんだ」と、自分の行動を語るコメントが大量。答えるハードルが極めて低い</t>
  </si>
  <si>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型：</t>
    </r>
    <r>
      <rPr>
        <sz val="10"/>
        <rFont val="Meiryo"/>
        <family val="0"/>
        <charset val="1"/>
      </rPr>
      <t xml:space="preserve">Day28</t>
    </r>
    <r>
      <rPr>
        <sz val="10"/>
        <rFont val="WenQuanYi Zen Hei"/>
        <family val="2"/>
      </rPr>
      <t xml:space="preserve">（ラインを割るまで）。問いは「誰でも答えられる」ものにする</t>
    </r>
  </si>
  <si>
    <t xml:space="preserve">https://www.threads.com/@320_reishi/post/DW2nN5lig-z</t>
  </si>
  <si>
    <t xml:space="preserve">mone_gooday</t>
  </si>
  <si>
    <t xml:space="preserve">脳科学でも証明されているけど、お気に入りのマグカップで…「好き」で埋め尽くせる人は豊かになる</t>
  </si>
  <si>
    <r>
      <rPr>
        <sz val="10"/>
        <rFont val="Meiryo"/>
        <family val="0"/>
        <charset val="1"/>
      </rPr>
      <t xml:space="preserve">277,918</t>
    </r>
    <r>
      <rPr>
        <sz val="10"/>
        <rFont val="WenQuanYi Zen Hei"/>
        <family val="2"/>
      </rPr>
      <t xml:space="preserve">（表示）</t>
    </r>
  </si>
  <si>
    <r>
      <rPr>
        <sz val="10"/>
        <rFont val="WenQuanYi Zen Hei"/>
        <family val="2"/>
      </rPr>
      <t xml:space="preserve">権威づけの一言＋誰でも今日できる具体例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つ＋前向きな結論</t>
    </r>
  </si>
  <si>
    <r>
      <rPr>
        <sz val="10"/>
        <rFont val="WenQuanYi Zen Hei"/>
        <family val="2"/>
      </rPr>
      <t xml:space="preserve">根拠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行→具体的な行動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つ→断定の結論（</t>
    </r>
    <r>
      <rPr>
        <sz val="10"/>
        <rFont val="Meiryo"/>
        <family val="0"/>
        <charset val="1"/>
      </rPr>
      <t xml:space="preserve">1/3</t>
    </r>
    <r>
      <rPr>
        <sz val="10"/>
        <rFont val="WenQuanYi Zen Hei"/>
        <family val="2"/>
      </rPr>
      <t xml:space="preserve">）</t>
    </r>
  </si>
  <si>
    <t xml:space="preserve">作者がほぼ全コメントに返信し、会話が続いている。「実践中」「わかる」の共感が中心</t>
  </si>
  <si>
    <r>
      <rPr>
        <sz val="10"/>
        <rFont val="Meiryo"/>
        <family val="0"/>
        <charset val="1"/>
      </rPr>
      <t xml:space="preserve">G</t>
    </r>
    <r>
      <rPr>
        <sz val="10"/>
        <rFont val="WenQuanYi Zen Hei"/>
        <family val="2"/>
      </rPr>
      <t xml:space="preserve">型：</t>
    </r>
    <r>
      <rPr>
        <sz val="10"/>
        <rFont val="Meiryo"/>
        <family val="0"/>
        <charset val="1"/>
      </rPr>
      <t xml:space="preserve">Day9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。ただし根拠は「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年日記」など自分の体験に置き換える。全コメント返信を真似る</t>
    </r>
  </si>
  <si>
    <t xml:space="preserve">https://www.threads.com/@mone_gooday/post/DT-Um6ZgX45</t>
  </si>
  <si>
    <t xml:space="preserve">高（構造）</t>
  </si>
  <si>
    <t xml:space="preserve">jin_kasegupro</t>
  </si>
  <si>
    <r>
      <rPr>
        <sz val="10"/>
        <rFont val="WenQuanYi Zen Hei"/>
        <family val="2"/>
      </rPr>
      <t xml:space="preserve">絶対に初心者が参入してはいけない副業ジャンル（物販・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・動画編集…）</t>
    </r>
  </si>
  <si>
    <r>
      <rPr>
        <sz val="10"/>
        <rFont val="Meiryo"/>
        <family val="0"/>
        <charset val="1"/>
      </rPr>
      <t xml:space="preserve">20,581</t>
    </r>
    <r>
      <rPr>
        <sz val="10"/>
        <rFont val="WenQuanYi Zen Hei"/>
        <family val="2"/>
      </rPr>
      <t xml:space="preserve">（表示）</t>
    </r>
  </si>
  <si>
    <t xml:space="preserve">「絶対に〜してはいけない」の断言＋リスト＋答えを次の投稿に持ち越す</t>
  </si>
  <si>
    <r>
      <rPr>
        <sz val="10"/>
        <rFont val="WenQuanYi Zen Hei"/>
        <family val="2"/>
      </rPr>
      <t xml:space="preserve">断言→</t>
    </r>
    <r>
      <rPr>
        <sz val="10"/>
        <rFont val="Meiryo"/>
        <family val="0"/>
        <charset val="1"/>
      </rPr>
      <t xml:space="preserve">NG</t>
    </r>
    <r>
      <rPr>
        <sz val="10"/>
        <rFont val="WenQuanYi Zen Hei"/>
        <family val="2"/>
      </rPr>
      <t xml:space="preserve">リスト→「狙いやすいのは、」で</t>
    </r>
    <r>
      <rPr>
        <sz val="10"/>
        <rFont val="Meiryo"/>
        <family val="0"/>
        <charset val="1"/>
      </rPr>
      <t xml:space="preserve">1/2</t>
    </r>
    <r>
      <rPr>
        <sz val="10"/>
        <rFont val="WenQuanYi Zen Hei"/>
        <family val="2"/>
      </rPr>
      <t xml:space="preserve">を切る→</t>
    </r>
    <r>
      <rPr>
        <sz val="10"/>
        <rFont val="Meiryo"/>
        <family val="0"/>
        <charset val="1"/>
      </rPr>
      <t xml:space="preserve">2/2</t>
    </r>
    <r>
      <rPr>
        <sz val="10"/>
        <rFont val="WenQuanYi Zen Hei"/>
        <family val="2"/>
      </rPr>
      <t xml:space="preserve">で答え→「努力量より、努力する場所」で締め</t>
    </r>
  </si>
  <si>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型：</t>
    </r>
    <r>
      <rPr>
        <sz val="10"/>
        <rFont val="Meiryo"/>
        <family val="0"/>
        <charset val="1"/>
      </rPr>
      <t xml:space="preserve">Day4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19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21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24</t>
    </r>
    <r>
      <rPr>
        <sz val="10"/>
        <rFont val="WenQuanYi Zen Hei"/>
        <family val="2"/>
      </rPr>
      <t xml:space="preserve">。答えをツリーに置いて、ツリー→プロフィールへの動線を作る</t>
    </r>
  </si>
  <si>
    <t xml:space="preserve">https://www.threads.com/share/HIv4Hf-Yu/</t>
  </si>
  <si>
    <r>
      <rPr>
        <b val="true"/>
        <sz val="11"/>
        <color rgb="FF1F3864"/>
        <rFont val="WenQuanYi Zen Hei"/>
        <family val="2"/>
      </rPr>
      <t xml:space="preserve">■ 共通するバズ要素（</t>
    </r>
    <r>
      <rPr>
        <b val="true"/>
        <sz val="11"/>
        <color rgb="FF1F3864"/>
        <rFont val="Meiryo"/>
        <family val="0"/>
        <charset val="1"/>
      </rPr>
      <t xml:space="preserve">10</t>
    </r>
    <r>
      <rPr>
        <b val="true"/>
        <sz val="11"/>
        <color rgb="FF1F3864"/>
        <rFont val="WenQuanYi Zen Hei"/>
        <family val="2"/>
      </rPr>
      <t xml:space="preserve">投稿から抽出）</t>
    </r>
  </si>
  <si>
    <r>
      <rPr>
        <sz val="10"/>
        <rFont val="Meiryo"/>
        <family val="0"/>
        <charset val="1"/>
      </rPr>
      <t xml:space="preserve">① 1</t>
    </r>
    <r>
      <rPr>
        <sz val="10"/>
        <rFont val="WenQuanYi Zen Hei"/>
        <family val="2"/>
      </rPr>
      <t xml:space="preserve">行目で「自分ごと」になる：年齢・家族・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苦手など、読者の属性をそのまま入れる（</t>
    </r>
    <r>
      <rPr>
        <sz val="10"/>
        <rFont val="Meiryo"/>
        <family val="0"/>
        <charset val="1"/>
      </rPr>
      <t xml:space="preserve">saori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tomoyo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hikari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</si>
  <si>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② 答えるハードルが低い問い：</t>
    </r>
    <r>
      <rPr>
        <sz val="10"/>
        <rFont val="Meiryo"/>
        <family val="0"/>
        <charset val="1"/>
      </rPr>
      <t xml:space="preserve">YES/NO</t>
    </r>
    <r>
      <rPr>
        <sz val="10"/>
        <rFont val="WenQuanYi Zen Hei"/>
        <family val="2"/>
      </rPr>
      <t xml:space="preserve">や自分の体験で答えられる（</t>
    </r>
    <r>
      <rPr>
        <sz val="10"/>
        <rFont val="Meiryo"/>
        <family val="0"/>
        <charset val="1"/>
      </rPr>
      <t xml:space="preserve">320_reishi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sorakapu</t>
    </r>
    <r>
      <rPr>
        <sz val="10"/>
        <rFont val="WenQuanYi Zen Hei"/>
        <family val="2"/>
      </rPr>
      <t xml:space="preserve">）。返信が多い投稿ほど表示が伸びやすい傾向</t>
    </r>
  </si>
  <si>
    <r>
      <rPr>
        <sz val="10"/>
        <rFont val="WenQuanYi Zen Hei"/>
        <family val="2"/>
      </rPr>
      <t xml:space="preserve">③ 常識の否定で読者を救う：「〜なのではなく、〜なだけ」（</t>
    </r>
    <r>
      <rPr>
        <sz val="10"/>
        <rFont val="Meiryo"/>
        <family val="0"/>
        <charset val="1"/>
      </rPr>
      <t xml:space="preserve">tomoyo</t>
    </r>
    <r>
      <rPr>
        <sz val="10"/>
        <rFont val="WenQuanYi Zen Hei"/>
        <family val="2"/>
      </rPr>
      <t xml:space="preserve">）。責められず、救われる側に立てる</t>
    </r>
  </si>
  <si>
    <r>
      <rPr>
        <sz val="10"/>
        <rFont val="WenQuanYi Zen Hei"/>
        <family val="2"/>
      </rPr>
      <t xml:space="preserve">④ 続きを持ち越す：</t>
    </r>
    <r>
      <rPr>
        <sz val="10"/>
        <rFont val="Meiryo"/>
        <family val="0"/>
        <charset val="1"/>
      </rPr>
      <t xml:space="preserve">1/2</t>
    </r>
    <r>
      <rPr>
        <sz val="10"/>
        <rFont val="WenQuanYi Zen Hei"/>
        <family val="2"/>
      </rPr>
      <t xml:space="preserve">で答えを言わずに切る（</t>
    </r>
    <r>
      <rPr>
        <sz val="10"/>
        <rFont val="Meiryo"/>
        <family val="0"/>
        <charset val="1"/>
      </rPr>
      <t xml:space="preserve">jin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320_reishi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mone</t>
    </r>
    <r>
      <rPr>
        <sz val="10"/>
        <rFont val="WenQuanYi Zen Hei"/>
        <family val="2"/>
      </rPr>
      <t xml:space="preserve">）。ツリーを開く＝滞在時間が伸び、プロフィールを見る人が増える</t>
    </r>
  </si>
  <si>
    <r>
      <rPr>
        <sz val="10"/>
        <rFont val="WenQuanYi Zen Hei"/>
        <family val="2"/>
      </rPr>
      <t xml:space="preserve">⑤ 作者の返信で会話を続ける（</t>
    </r>
    <r>
      <rPr>
        <sz val="10"/>
        <rFont val="Meiryo"/>
        <family val="0"/>
        <charset val="1"/>
      </rPr>
      <t xml:space="preserve">mone_gooday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</si>
  <si>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⑥ 誇張した権威づけ（脳科学で証明 等）は避け、自分の実体験（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万円・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社・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年日記）を「根拠」にする</t>
    </r>
  </si>
  <si>
    <t xml:space="preserve">文章構造テンプレート｜基本型と、プロフィール遷移が起きる別の順番</t>
  </si>
  <si>
    <r>
      <rPr>
        <i val="true"/>
        <sz val="9"/>
        <color rgb="FF595959"/>
        <rFont val="Meiryo"/>
        <family val="0"/>
        <charset val="1"/>
      </rPr>
      <t xml:space="preserve">A</t>
    </r>
    <r>
      <rPr>
        <i val="true"/>
        <sz val="9"/>
        <color rgb="FF595959"/>
        <rFont val="WenQuanYi Zen Hei"/>
        <family val="2"/>
      </rPr>
      <t xml:space="preserve">型はご指定の流れ。</t>
    </r>
    <r>
      <rPr>
        <i val="true"/>
        <sz val="9"/>
        <color rgb="FF595959"/>
        <rFont val="Meiryo"/>
        <family val="0"/>
        <charset val="1"/>
      </rPr>
      <t xml:space="preserve">B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Meiryo"/>
        <family val="0"/>
        <charset val="1"/>
      </rPr>
      <t xml:space="preserve">G</t>
    </r>
    <r>
      <rPr>
        <i val="true"/>
        <sz val="9"/>
        <color rgb="FF595959"/>
        <rFont val="WenQuanYi Zen Hei"/>
        <family val="2"/>
      </rPr>
      <t xml:space="preserve">型は競合バズ投稿から逆算した「別の順番」。使用</t>
    </r>
    <r>
      <rPr>
        <i val="true"/>
        <sz val="9"/>
        <color rgb="FF595959"/>
        <rFont val="Meiryo"/>
        <family val="0"/>
        <charset val="1"/>
      </rPr>
      <t xml:space="preserve">Day</t>
    </r>
    <r>
      <rPr>
        <i val="true"/>
        <sz val="9"/>
        <color rgb="FF595959"/>
        <rFont val="WenQuanYi Zen Hei"/>
        <family val="2"/>
      </rPr>
      <t xml:space="preserve">は</t>
    </r>
    <r>
      <rPr>
        <i val="true"/>
        <sz val="9"/>
        <color rgb="FF595959"/>
        <rFont val="Meiryo"/>
        <family val="0"/>
        <charset val="1"/>
      </rPr>
      <t xml:space="preserve">30</t>
    </r>
    <r>
      <rPr>
        <i val="true"/>
        <sz val="9"/>
        <color rgb="FF595959"/>
        <rFont val="WenQuanYi Zen Hei"/>
        <family val="2"/>
      </rPr>
      <t xml:space="preserve">日投稿スケジュールから自動集計。</t>
    </r>
  </si>
  <si>
    <t xml:space="preserve">型</t>
  </si>
  <si>
    <t xml:space="preserve">名前</t>
  </si>
  <si>
    <t xml:space="preserve">参考にしたバズ投稿</t>
  </si>
  <si>
    <t xml:space="preserve">文章の順番</t>
  </si>
  <si>
    <t xml:space="preserve">プロフィールクリックが起きる理由</t>
  </si>
  <si>
    <t xml:space="preserve">向いている悩み</t>
  </si>
  <si>
    <t xml:space="preserve">使用回数</t>
  </si>
  <si>
    <t xml:space="preserve">注意点</t>
  </si>
  <si>
    <t xml:space="preserve">A</t>
  </si>
  <si>
    <r>
      <rPr>
        <sz val="10"/>
        <rFont val="WenQuanYi Zen Hei"/>
        <family val="2"/>
      </rPr>
      <t xml:space="preserve">基本型（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ステップ・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投稿分割）</t>
    </r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</si>
  <si>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＋</t>
    </r>
    <r>
      <rPr>
        <sz val="10"/>
        <rFont val="Meiryo"/>
        <family val="0"/>
        <charset val="1"/>
      </rPr>
      <t xml:space="preserve">saori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投稿に分割）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</si>
  <si>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強い冒頭（衝撃の事実／常識破壊）
</t>
    </r>
    <r>
      <rPr>
        <sz val="10"/>
        <rFont val="Meiryo"/>
        <family val="0"/>
        <charset val="1"/>
      </rPr>
      <t xml:space="preserve">2. 50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代の副業迷子が困っている具体的な場面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常識の否定・意外な原因
―― ここで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投稿目を切る（続きはツリーへ👇）――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専門家ではないが、一歩先を行く副業迷子だから言える理由
</t>
    </r>
    <r>
      <rPr>
        <sz val="10"/>
        <rFont val="Meiryo"/>
        <family val="0"/>
        <charset val="1"/>
      </rPr>
      <t xml:space="preserve">5. </t>
    </r>
    <r>
      <rPr>
        <sz val="10"/>
        <rFont val="WenQuanYi Zen Hei"/>
        <family val="2"/>
      </rPr>
      <t xml:space="preserve">今すぐできる対策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個
</t>
    </r>
    <r>
      <rPr>
        <sz val="10"/>
        <rFont val="Meiryo"/>
        <family val="0"/>
        <charset val="1"/>
      </rPr>
      <t xml:space="preserve">6. </t>
    </r>
    <r>
      <rPr>
        <sz val="10"/>
        <rFont val="WenQuanYi Zen Hei"/>
        <family val="2"/>
      </rPr>
      <t xml:space="preserve">家族や自分に起きる未来の変化
</t>
    </r>
    <r>
      <rPr>
        <sz val="10"/>
        <rFont val="Meiryo"/>
        <family val="0"/>
        <charset val="1"/>
      </rPr>
      <t xml:space="preserve">7. </t>
    </r>
    <r>
      <rPr>
        <sz val="10"/>
        <rFont val="WenQuanYi Zen Hei"/>
        <family val="2"/>
      </rPr>
      <t xml:space="preserve">続きを読む・フォロー・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への導線</t>
    </r>
  </si>
  <si>
    <r>
      <rPr>
        <sz val="10"/>
        <rFont val="WenQuanYi Zen Hei"/>
        <family val="2"/>
      </rPr>
      <t xml:space="preserve">対策で「役に立った」と感じた直後に、「もっと知りたい」の受け皿として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を置くため</t>
    </r>
  </si>
  <si>
    <t xml:space="preserve">高額講座・副業選び・時間・不安全般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</si>
  <si>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投稿に全部入れると長く、読了率が落ちる。必ず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と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の間で分割する</t>
    </r>
  </si>
  <si>
    <t xml:space="preserve">B</t>
  </si>
  <si>
    <t xml:space="preserve">断言リスト→引き型</t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</si>
  <si>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20,581</t>
    </r>
    <r>
      <rPr>
        <sz val="10"/>
        <rFont val="WenQuanYi Zen Hei"/>
        <family val="2"/>
      </rPr>
      <t xml:space="preserve">表示）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</si>
  <si>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断言の冒頭（「〜してはいけない」「苦労しやすい〜」）
</t>
    </r>
    <r>
      <rPr>
        <sz val="10"/>
        <rFont val="Meiryo"/>
        <family val="0"/>
        <charset val="1"/>
      </rPr>
      <t xml:space="preserve">2. NG</t>
    </r>
    <r>
      <rPr>
        <sz val="10"/>
        <rFont val="WenQuanYi Zen Hei"/>
        <family val="2"/>
      </rPr>
      <t xml:space="preserve">リスト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個（自分の失敗を括弧書きで）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「では、何をすればいいのか。」で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投稿目を切る
―― ツリー ――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答えを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行で
</t>
    </r>
    <r>
      <rPr>
        <sz val="10"/>
        <rFont val="Meiryo"/>
        <family val="0"/>
        <charset val="1"/>
      </rPr>
      <t xml:space="preserve">5. </t>
    </r>
    <r>
      <rPr>
        <sz val="10"/>
        <rFont val="WenQuanYi Zen Hei"/>
        <family val="2"/>
      </rPr>
      <t xml:space="preserve">理由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
</t>
    </r>
    <r>
      <rPr>
        <sz val="10"/>
        <rFont val="Meiryo"/>
        <family val="0"/>
        <charset val="1"/>
      </rPr>
      <t xml:space="preserve">6. </t>
    </r>
    <r>
      <rPr>
        <sz val="10"/>
        <rFont val="WenQuanYi Zen Hei"/>
        <family val="2"/>
      </rPr>
      <t xml:space="preserve">名言風の締め（例：頑張る量より、頑張る場所）
</t>
    </r>
    <r>
      <rPr>
        <sz val="10"/>
        <rFont val="Meiryo"/>
        <family val="0"/>
        <charset val="1"/>
      </rPr>
      <t xml:space="preserve">7. </t>
    </r>
    <r>
      <rPr>
        <sz val="10"/>
        <rFont val="WenQuanYi Zen Hei"/>
        <family val="2"/>
      </rPr>
      <t xml:space="preserve">導線</t>
    </r>
  </si>
  <si>
    <t xml:space="preserve">答えを知るためにツリーを開く→答えが「この人の進め方」なので、そのままプロフィールを見に行く</t>
  </si>
  <si>
    <r>
      <rPr>
        <sz val="10"/>
        <rFont val="WenQuanYi Zen Hei"/>
        <family val="2"/>
      </rPr>
      <t xml:space="preserve">副業選び・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の使い方・スマホ副業</t>
    </r>
  </si>
  <si>
    <r>
      <rPr>
        <sz val="10"/>
        <rFont val="Meiryo"/>
        <family val="0"/>
        <charset val="1"/>
      </rPr>
      <t xml:space="preserve">NG</t>
    </r>
    <r>
      <rPr>
        <sz val="10"/>
        <rFont val="WenQuanYi Zen Hei"/>
        <family val="2"/>
      </rPr>
      <t xml:space="preserve">リストで他人の副業を否定しすぎない。「稼いでいる人もいる」と一言添える</t>
    </r>
  </si>
  <si>
    <t xml:space="preserve">C</t>
  </si>
  <si>
    <t xml:space="preserve">他者の一言→悔しさ→問い型</t>
  </si>
  <si>
    <r>
      <rPr>
        <sz val="10"/>
        <rFont val="Meiryo"/>
        <family val="0"/>
        <charset val="1"/>
      </rPr>
      <t xml:space="preserve">saori.bihada.recipe</t>
    </r>
    <r>
      <rPr>
        <sz val="10"/>
        <rFont val="WenQuanYi Zen Hei"/>
        <family val="2"/>
      </rPr>
      <t xml:space="preserve">（いいね</t>
    </r>
    <r>
      <rPr>
        <sz val="10"/>
        <rFont val="Meiryo"/>
        <family val="0"/>
        <charset val="1"/>
      </rPr>
      <t xml:space="preserve">14,800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</si>
  <si>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他者の一言、または自分が受けた仕打ち（年齢で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社・妻の一言・兄との差）
</t>
    </r>
    <r>
      <rPr>
        <sz val="10"/>
        <rFont val="Meiryo"/>
        <family val="0"/>
        <charset val="1"/>
      </rPr>
      <t xml:space="preserve">2. </t>
    </r>
    <r>
      <rPr>
        <sz val="10"/>
        <rFont val="WenQuanYi Zen Hei"/>
        <family val="2"/>
      </rPr>
      <t xml:space="preserve">自分の弱点を正直に告白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悔しさ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それでも諦めない理由と宣言
</t>
    </r>
    <r>
      <rPr>
        <sz val="10"/>
        <rFont val="Meiryo"/>
        <family val="0"/>
        <charset val="1"/>
      </rPr>
      <t xml:space="preserve">5. </t>
    </r>
    <r>
      <rPr>
        <sz val="10"/>
        <rFont val="WenQuanYi Zen Hei"/>
        <family val="2"/>
      </rPr>
      <t xml:space="preserve">読者への問い（「〜したことはありますか？」）
―― ツリー ――
</t>
    </r>
    <r>
      <rPr>
        <sz val="10"/>
        <rFont val="Meiryo"/>
        <family val="0"/>
        <charset val="1"/>
      </rPr>
      <t xml:space="preserve">6. </t>
    </r>
    <r>
      <rPr>
        <sz val="10"/>
        <rFont val="WenQuanYi Zen Hei"/>
        <family val="2"/>
      </rPr>
      <t xml:space="preserve">今の挑戦の報告＋フォロー導線（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は軽く）</t>
    </r>
  </si>
  <si>
    <t xml:space="preserve">対策ではなく「この人がどうなるか見届けたい」という人物への興味でプロフィールを見る</t>
  </si>
  <si>
    <t xml:space="preserve">年齢・家族・比較などの深い悩み</t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</si>
  <si>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を強く売らない。フォロー優先。返信には必ず返す</t>
    </r>
  </si>
  <si>
    <t xml:space="preserve">D</t>
  </si>
  <si>
    <t xml:space="preserve">再定義救済型</t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</si>
  <si>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（返信</t>
    </r>
    <r>
      <rPr>
        <sz val="10"/>
        <rFont val="Meiryo"/>
        <family val="0"/>
        <charset val="1"/>
      </rPr>
      <t xml:space="preserve">363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</si>
  <si>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「〇〇なのは△△のせいではありません」（読者の自責を否定）
</t>
    </r>
    <r>
      <rPr>
        <sz val="10"/>
        <rFont val="Meiryo"/>
        <family val="0"/>
        <charset val="1"/>
      </rPr>
      <t xml:space="preserve">2. </t>
    </r>
    <r>
      <rPr>
        <sz val="10"/>
        <rFont val="WenQuanYi Zen Hei"/>
        <family val="2"/>
      </rPr>
      <t xml:space="preserve">読者が困っている場面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本当の原因（「教わっていないだけ」）
―― ツリー ――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自分も同じだった話
</t>
    </r>
    <r>
      <rPr>
        <sz val="10"/>
        <rFont val="Meiryo"/>
        <family val="0"/>
        <charset val="1"/>
      </rPr>
      <t xml:space="preserve">5. </t>
    </r>
    <r>
      <rPr>
        <sz val="10"/>
        <rFont val="WenQuanYi Zen Hei"/>
        <family val="2"/>
      </rPr>
      <t xml:space="preserve">今日からの対策
</t>
    </r>
    <r>
      <rPr>
        <sz val="10"/>
        <rFont val="Meiryo"/>
        <family val="0"/>
        <charset val="1"/>
      </rPr>
      <t xml:space="preserve">6. </t>
    </r>
    <r>
      <rPr>
        <sz val="10"/>
        <rFont val="WenQuanYi Zen Hei"/>
        <family val="2"/>
      </rPr>
      <t xml:space="preserve">「保存して見返してください」＋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導線</t>
    </r>
  </si>
  <si>
    <r>
      <rPr>
        <sz val="10"/>
        <rFont val="WenQuanYi Zen Hei"/>
        <family val="2"/>
      </rPr>
      <t xml:space="preserve">責められずに救われた安心感→この人なら分かってくれる、で他の投稿と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を見に来る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</si>
  <si>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操作・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が難しい・投稿が伸びない</t>
    </r>
  </si>
  <si>
    <t xml:space="preserve">読者を「苦手な人」と決めつけない言い回しにする</t>
  </si>
  <si>
    <t xml:space="preserve">E</t>
  </si>
  <si>
    <t xml:space="preserve">告白＋「私だけ？」型</t>
  </si>
  <si>
    <r>
      <rPr>
        <sz val="10"/>
        <rFont val="Meiryo"/>
        <family val="0"/>
        <charset val="1"/>
      </rPr>
      <t xml:space="preserve">hikari.mama.09</t>
    </r>
    <r>
      <rPr>
        <sz val="10"/>
        <rFont val="WenQuanYi Zen Hei"/>
        <family val="2"/>
      </rPr>
      <t xml:space="preserve">（いいね</t>
    </r>
    <r>
      <rPr>
        <sz val="10"/>
        <rFont val="Meiryo"/>
        <family val="0"/>
        <charset val="1"/>
      </rPr>
      <t xml:space="preserve">11,000</t>
    </r>
    <r>
      <rPr>
        <sz val="10"/>
        <rFont val="WenQuanYi Zen Hei"/>
        <family val="2"/>
      </rPr>
      <t xml:space="preserve">）／</t>
    </r>
    <r>
      <rPr>
        <sz val="10"/>
        <rFont val="Meiryo"/>
        <family val="0"/>
        <charset val="1"/>
      </rPr>
      <t xml:space="preserve">sorakapu2710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</si>
  <si>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短い告白（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行）
</t>
    </r>
    <r>
      <rPr>
        <sz val="10"/>
        <rFont val="Meiryo"/>
        <family val="0"/>
        <charset val="1"/>
      </rPr>
      <t xml:space="preserve">2. </t>
    </r>
    <r>
      <rPr>
        <sz val="10"/>
        <rFont val="WenQuanYi Zen Hei"/>
        <family val="2"/>
      </rPr>
      <t xml:space="preserve">「これって僕だけですか？」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答えやすい質問（選択肢があると◎）
―― ツリー（任意）――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「全部読みます」＋返信した人への一言
</t>
    </r>
    <r>
      <rPr>
        <sz val="10"/>
        <rFont val="Meiryo"/>
        <family val="0"/>
        <charset val="1"/>
      </rPr>
      <t xml:space="preserve">5. </t>
    </r>
    <r>
      <rPr>
        <sz val="10"/>
        <rFont val="WenQuanYi Zen Hei"/>
        <family val="2"/>
      </rPr>
      <t xml:space="preserve">返信の中で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を自然に紹介</t>
    </r>
  </si>
  <si>
    <t xml:space="preserve">コメントへの作者の返信が通知で届き、そこからプロフィールに来る（本文より返信欄が導線）</t>
  </si>
  <si>
    <t xml:space="preserve">続かない・孤独・夢・悩み収集</t>
  </si>
  <si>
    <r>
      <rPr>
        <sz val="10"/>
        <rFont val="WenQuanYi Zen Hei"/>
        <family val="2"/>
      </rPr>
      <t xml:space="preserve">本文は短く。投稿後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時間はコメントに張り付いて返信する</t>
    </r>
  </si>
  <si>
    <t xml:space="preserve">F</t>
  </si>
  <si>
    <t xml:space="preserve">一言引用→余韻型</t>
  </si>
  <si>
    <r>
      <rPr>
        <sz val="10"/>
        <rFont val="Meiryo"/>
        <family val="0"/>
        <charset val="1"/>
      </rPr>
      <t xml:space="preserve">320_reishi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132,890</t>
    </r>
    <r>
      <rPr>
        <sz val="10"/>
        <rFont val="WenQuanYi Zen Hei"/>
        <family val="2"/>
      </rPr>
      <t xml:space="preserve">表示）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</si>
  <si>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誰でも答えられる問い、または心に残る一言の引用
</t>
    </r>
    <r>
      <rPr>
        <sz val="10"/>
        <rFont val="Meiryo"/>
        <family val="0"/>
        <charset val="1"/>
      </rPr>
      <t xml:space="preserve">2. </t>
    </r>
    <r>
      <rPr>
        <sz val="10"/>
        <rFont val="WenQuanYi Zen Hei"/>
        <family val="2"/>
      </rPr>
      <t xml:space="preserve">その言葉をくれた人（自分の過去・家族・サッカー）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余韻（「、、、」で切る）
―― ツリー ――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その言葉の意味を今の自分に重ねる
</t>
    </r>
    <r>
      <rPr>
        <sz val="10"/>
        <rFont val="Meiryo"/>
        <family val="0"/>
        <charset val="1"/>
      </rPr>
      <t xml:space="preserve">5. </t>
    </r>
    <r>
      <rPr>
        <sz val="10"/>
        <rFont val="WenQuanYi Zen Hei"/>
        <family val="2"/>
      </rPr>
      <t xml:space="preserve">読者へのエール＋フォロー導線</t>
    </r>
  </si>
  <si>
    <t xml:space="preserve">物語に共感した人が「どんな人なんだろう」とプロフィールを見る。再投稿されやすい</t>
  </si>
  <si>
    <t xml:space="preserve">一歩が踏み出せない・諦めかけている</t>
  </si>
  <si>
    <t xml:space="preserve">説教くさくしない。具体的なノウハウは入れない</t>
  </si>
  <si>
    <t xml:space="preserve">G</t>
  </si>
  <si>
    <r>
      <rPr>
        <sz val="10"/>
        <rFont val="WenQuanYi Zen Hei"/>
        <family val="2"/>
      </rPr>
      <t xml:space="preserve">一行の根拠→具体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つ→結論型</t>
    </r>
  </si>
  <si>
    <r>
      <rPr>
        <sz val="10"/>
        <rFont val="Meiryo"/>
        <family val="0"/>
        <charset val="1"/>
      </rPr>
      <t xml:space="preserve">mone_gooday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277,918</t>
    </r>
    <r>
      <rPr>
        <sz val="10"/>
        <rFont val="WenQuanYi Zen Hei"/>
        <family val="2"/>
      </rPr>
      <t xml:space="preserve">表示）</t>
    </r>
  </si>
  <si>
    <r>
      <rPr>
        <sz val="10"/>
        <rFont val="Meiryo"/>
        <family val="0"/>
        <charset val="1"/>
      </rPr>
      <t xml:space="preserve">1. </t>
    </r>
    <r>
      <rPr>
        <sz val="10"/>
        <rFont val="WenQuanYi Zen Hei"/>
        <family val="2"/>
      </rPr>
      <t xml:space="preserve">根拠の一行（「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年日記を続けて分かった」など自分の体験）
</t>
    </r>
    <r>
      <rPr>
        <sz val="10"/>
        <rFont val="Meiryo"/>
        <family val="0"/>
        <charset val="1"/>
      </rPr>
      <t xml:space="preserve">2. </t>
    </r>
    <r>
      <rPr>
        <sz val="10"/>
        <rFont val="WenQuanYi Zen Hei"/>
        <family val="2"/>
      </rPr>
      <t xml:space="preserve">誰でも今日できる具体的な行動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
</t>
    </r>
    <r>
      <rPr>
        <sz val="10"/>
        <rFont val="Meiryo"/>
        <family val="0"/>
        <charset val="1"/>
      </rPr>
      <t xml:space="preserve">3. </t>
    </r>
    <r>
      <rPr>
        <sz val="10"/>
        <rFont val="WenQuanYi Zen Hei"/>
        <family val="2"/>
      </rPr>
      <t xml:space="preserve">断定の結論
―― ツリー ――
</t>
    </r>
    <r>
      <rPr>
        <sz val="10"/>
        <rFont val="Meiryo"/>
        <family val="0"/>
        <charset val="1"/>
      </rPr>
      <t xml:space="preserve">4. </t>
    </r>
    <r>
      <rPr>
        <sz val="10"/>
        <rFont val="WenQuanYi Zen Hei"/>
        <family val="2"/>
      </rPr>
      <t xml:space="preserve">自分の実例
</t>
    </r>
    <r>
      <rPr>
        <sz val="10"/>
        <rFont val="Meiryo"/>
        <family val="0"/>
        <charset val="1"/>
      </rPr>
      <t xml:space="preserve">5. Note</t>
    </r>
    <r>
      <rPr>
        <sz val="10"/>
        <rFont val="WenQuanYi Zen Hei"/>
        <family val="2"/>
      </rPr>
      <t xml:space="preserve">導線</t>
    </r>
  </si>
  <si>
    <t xml:space="preserve">すぐ真似できる行動を保存した人が、他のノウハウも探してプロフィールへ</t>
  </si>
  <si>
    <t xml:space="preserve">時間がない・続かない</t>
  </si>
  <si>
    <t xml:space="preserve">「脳科学で証明」など、確認できない権威は使わない</t>
  </si>
  <si>
    <r>
      <rPr>
        <b val="true"/>
        <sz val="11"/>
        <color rgb="FF1F3864"/>
        <rFont val="WenQuanYi Zen Hei"/>
        <family val="2"/>
      </rPr>
      <t xml:space="preserve">■ 冒頭（</t>
    </r>
    <r>
      <rPr>
        <b val="true"/>
        <sz val="11"/>
        <color rgb="FF1F3864"/>
        <rFont val="Meiryo"/>
        <family val="0"/>
        <charset val="1"/>
      </rPr>
      <t xml:space="preserve">1</t>
    </r>
    <r>
      <rPr>
        <b val="true"/>
        <sz val="11"/>
        <color rgb="FF1F3864"/>
        <rFont val="WenQuanYi Zen Hei"/>
        <family val="2"/>
      </rPr>
      <t xml:space="preserve">〜</t>
    </r>
    <r>
      <rPr>
        <b val="true"/>
        <sz val="11"/>
        <color rgb="FF1F3864"/>
        <rFont val="Meiryo"/>
        <family val="0"/>
        <charset val="1"/>
      </rPr>
      <t xml:space="preserve">2</t>
    </r>
    <r>
      <rPr>
        <b val="true"/>
        <sz val="11"/>
        <color rgb="FF1F3864"/>
        <rFont val="WenQuanYi Zen Hei"/>
        <family val="2"/>
      </rPr>
      <t xml:space="preserve">行目）の型｜衝撃の事実と常識破壊に振り切る</t>
    </r>
  </si>
  <si>
    <t xml:space="preserve">種類</t>
  </si>
  <si>
    <t xml:space="preserve">例（このシートの投稿から）</t>
  </si>
  <si>
    <t xml:space="preserve">衝撃の事実</t>
  </si>
  <si>
    <t xml:space="preserve">［数字］＋［自分の失敗］</t>
  </si>
  <si>
    <r>
      <rPr>
        <sz val="10"/>
        <rFont val="WenQuanYi Zen Hei"/>
        <family val="2"/>
      </rPr>
      <t xml:space="preserve">副業と独立に、合計約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万円使いました。それでも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代の今、まだ脱サラできていません。</t>
    </r>
  </si>
  <si>
    <t xml:space="preserve">［他者の仕打ち］＋［でも体は動く］</t>
  </si>
  <si>
    <r>
      <rPr>
        <sz val="10"/>
        <rFont val="WenQuanYi Zen Hei"/>
        <family val="2"/>
      </rPr>
      <t xml:space="preserve">年齢を理由に断られた会社、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社。体は、まだちゃんと動くのに。</t>
    </r>
  </si>
  <si>
    <t xml:space="preserve">［意外なギャップ］</t>
  </si>
  <si>
    <r>
      <rPr>
        <sz val="10"/>
        <rFont val="WenQuanYi Zen Hei"/>
        <family val="2"/>
      </rPr>
      <t xml:space="preserve">兄は外資系企業で副社長まで上り詰めた人。弟の僕は、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代の派遣社員です。</t>
    </r>
  </si>
  <si>
    <t xml:space="preserve">常識破壊</t>
  </si>
  <si>
    <t xml:space="preserve">〇〇なのは△△のせいではありません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</si>
  <si>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代がパソコンを苦手なのは、才能のせいではありません。誰にも「打ち方」を教わっていないだけです。</t>
    </r>
  </si>
  <si>
    <t xml:space="preserve">〇〇は、もう昔の話です</t>
  </si>
  <si>
    <t xml:space="preserve">「パソコンがないと副業できない」は、もう昔の話です。</t>
  </si>
  <si>
    <r>
      <rPr>
        <sz val="10"/>
        <rFont val="WenQuanYi Zen Hei"/>
        <family val="2"/>
      </rPr>
      <t xml:space="preserve">〇〇するほど、</t>
    </r>
    <r>
      <rPr>
        <sz val="10"/>
        <rFont val="Meiryo"/>
        <family val="0"/>
        <charset val="1"/>
      </rPr>
      <t xml:space="preserve">××</t>
    </r>
    <r>
      <rPr>
        <sz val="10"/>
        <rFont val="WenQuanYi Zen Hei"/>
        <family val="2"/>
      </rPr>
      <t xml:space="preserve">になる／〇〇は</t>
    </r>
    <r>
      <rPr>
        <sz val="10"/>
        <rFont val="Meiryo"/>
        <family val="0"/>
        <charset val="1"/>
      </rPr>
      <t xml:space="preserve">××</t>
    </r>
    <r>
      <rPr>
        <sz val="10"/>
        <rFont val="WenQuanYi Zen Hei"/>
        <family val="2"/>
      </rPr>
      <t xml:space="preserve">ではありません</t>
    </r>
  </si>
  <si>
    <r>
      <rPr>
        <sz val="10"/>
        <rFont val="WenQuanYi Zen Hei"/>
        <family val="2"/>
      </rPr>
      <t xml:space="preserve">副業の</t>
    </r>
    <r>
      <rPr>
        <sz val="10"/>
        <rFont val="Meiryo"/>
        <family val="0"/>
        <charset val="1"/>
      </rPr>
      <t xml:space="preserve">YouTube</t>
    </r>
    <r>
      <rPr>
        <sz val="10"/>
        <rFont val="WenQuanYi Zen Hei"/>
        <family val="2"/>
      </rPr>
      <t xml:space="preserve">を見ている時間は、副業ではありません。</t>
    </r>
  </si>
  <si>
    <t xml:space="preserve">最初にしてはいけない〇〇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</si>
  <si>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初心者が</t>
    </r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に最初にしてはいけない質問。「稼げる副業を教えて」。</t>
    </r>
  </si>
  <si>
    <t xml:space="preserve">ターゲットの悩みリスト｜浅い悩み・深い悩み</t>
  </si>
  <si>
    <r>
      <rPr>
        <i val="true"/>
        <sz val="9"/>
        <color rgb="FF595959"/>
        <rFont val="Meiryo"/>
        <family val="0"/>
        <charset val="1"/>
      </rPr>
      <t xml:space="preserve">ChatGPT</t>
    </r>
    <r>
      <rPr>
        <i val="true"/>
        <sz val="9"/>
        <color rgb="FF595959"/>
        <rFont val="WenQuanYi Zen Hei"/>
        <family val="2"/>
      </rPr>
      <t xml:space="preserve">分析の</t>
    </r>
    <r>
      <rPr>
        <i val="true"/>
        <sz val="9"/>
        <color rgb="FF595959"/>
        <rFont val="Meiryo"/>
        <family val="0"/>
        <charset val="1"/>
      </rPr>
      <t xml:space="preserve">40</t>
    </r>
    <r>
      <rPr>
        <i val="true"/>
        <sz val="9"/>
        <color rgb="FF595959"/>
        <rFont val="WenQuanYi Zen Hei"/>
        <family val="2"/>
      </rPr>
      <t xml:space="preserve">項目＋今回追加分。使用</t>
    </r>
    <r>
      <rPr>
        <i val="true"/>
        <sz val="9"/>
        <color rgb="FF595959"/>
        <rFont val="Meiryo"/>
        <family val="0"/>
        <charset val="1"/>
      </rPr>
      <t xml:space="preserve">Day</t>
    </r>
    <r>
      <rPr>
        <i val="true"/>
        <sz val="9"/>
        <color rgb="FF595959"/>
        <rFont val="WenQuanYi Zen Hei"/>
        <family val="2"/>
      </rPr>
      <t xml:space="preserve">は</t>
    </r>
    <r>
      <rPr>
        <i val="true"/>
        <sz val="9"/>
        <color rgb="FF595959"/>
        <rFont val="Meiryo"/>
        <family val="0"/>
        <charset val="1"/>
      </rPr>
      <t xml:space="preserve">30</t>
    </r>
    <r>
      <rPr>
        <i val="true"/>
        <sz val="9"/>
        <color rgb="FF595959"/>
        <rFont val="WenQuanYi Zen Hei"/>
        <family val="2"/>
      </rPr>
      <t xml:space="preserve">日投稿スケジュールの割り当て。コメントで集まった悩みは下に追記していく。</t>
    </r>
  </si>
  <si>
    <t xml:space="preserve">No.</t>
  </si>
  <si>
    <t xml:space="preserve">悩み</t>
  </si>
  <si>
    <t xml:space="preserve">刺さりやすい投稿テーマ</t>
  </si>
  <si>
    <t xml:space="preserve">浅い悩み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</si>
  <si>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で文字入力が遅い</t>
    </r>
  </si>
  <si>
    <t xml:space="preserve">小さい「ゃ」の打ち方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</si>
  <si>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の始め方が分からない</t>
    </r>
  </si>
  <si>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の最初の質問</t>
    </r>
  </si>
  <si>
    <t xml:space="preserve">4</t>
  </si>
  <si>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の使い方が分からない</t>
    </r>
  </si>
  <si>
    <t xml:space="preserve">初投稿までの手順</t>
  </si>
  <si>
    <r>
      <rPr>
        <sz val="10"/>
        <rFont val="WenQuanYi Zen Hei"/>
        <family val="2"/>
      </rPr>
      <t xml:space="preserve">（次の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日）</t>
    </r>
  </si>
  <si>
    <t xml:space="preserve">何を投稿すればいいか分からない</t>
  </si>
  <si>
    <t xml:space="preserve">体験談を投稿に変える</t>
  </si>
  <si>
    <t xml:space="preserve">6</t>
  </si>
  <si>
    <t xml:space="preserve">副業の種類が多すぎる</t>
  </si>
  <si>
    <t xml:space="preserve">副業選びの比較</t>
  </si>
  <si>
    <t xml:space="preserve">13, 19</t>
  </si>
  <si>
    <t xml:space="preserve">無料と有料の違いが分からない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</si>
  <si>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無料版で試すこと</t>
    </r>
  </si>
  <si>
    <t xml:space="preserve">スマホだけで副業できるか不安</t>
  </si>
  <si>
    <t xml:space="preserve">スマホでできる作業</t>
  </si>
  <si>
    <t xml:space="preserve">12</t>
  </si>
  <si>
    <t xml:space="preserve">毎日投稿するネタがない</t>
  </si>
  <si>
    <t xml:space="preserve">失敗経験からネタ出し</t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</si>
  <si>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の作り方が分からない</t>
    </r>
  </si>
  <si>
    <r>
      <rPr>
        <sz val="10"/>
        <rFont val="WenQuanYi Zen Hei"/>
        <family val="2"/>
      </rPr>
      <t xml:space="preserve">初心者向け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作成</t>
    </r>
  </si>
  <si>
    <t xml:space="preserve">16</t>
  </si>
  <si>
    <t xml:space="preserve">フォロワーが増えない</t>
  </si>
  <si>
    <t xml:space="preserve">投稿改善の実験記録</t>
  </si>
  <si>
    <t xml:space="preserve">15</t>
  </si>
  <si>
    <t xml:space="preserve">投稿に反応がつかない</t>
  </si>
  <si>
    <r>
      <rPr>
        <sz val="10"/>
        <rFont val="WenQuanYi Zen Hei"/>
        <family val="2"/>
      </rPr>
      <t xml:space="preserve">冒頭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行の改善</t>
    </r>
  </si>
  <si>
    <t xml:space="preserve">どの教材を選べばいいか分からない</t>
  </si>
  <si>
    <t xml:space="preserve">購入前チェック</t>
  </si>
  <si>
    <t xml:space="preserve">5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</si>
  <si>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の回答が難しすぎる</t>
    </r>
  </si>
  <si>
    <t xml:space="preserve">やさしく説明させる方法</t>
  </si>
  <si>
    <t xml:space="preserve">10</t>
  </si>
  <si>
    <t xml:space="preserve">副業の時間が取れない</t>
  </si>
  <si>
    <r>
      <rPr>
        <sz val="10"/>
        <rFont val="WenQuanYi Zen Hei"/>
        <family val="2"/>
      </rPr>
      <t xml:space="preserve">仕事後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分の習慣</t>
    </r>
  </si>
  <si>
    <t xml:space="preserve">9</t>
  </si>
  <si>
    <t xml:space="preserve">何から勉強すべきか分からない</t>
  </si>
  <si>
    <r>
      <rPr>
        <sz val="10"/>
        <rFont val="WenQuanYi Zen Hei"/>
        <family val="2"/>
      </rPr>
      <t xml:space="preserve">最初の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日間</t>
    </r>
  </si>
  <si>
    <t xml:space="preserve">21</t>
  </si>
  <si>
    <t xml:space="preserve">過去の副業経験が活かせない</t>
  </si>
  <si>
    <t xml:space="preserve">失敗経験の棚卸し</t>
  </si>
  <si>
    <r>
      <rPr>
        <sz val="10"/>
        <rFont val="WenQuanYi Zen Hei"/>
        <family val="2"/>
      </rPr>
      <t xml:space="preserve">ブログと</t>
    </r>
    <r>
      <rPr>
        <sz val="10"/>
        <rFont val="Meiryo"/>
        <family val="0"/>
        <charset val="1"/>
      </rPr>
      <t xml:space="preserve">SNS</t>
    </r>
    <r>
      <rPr>
        <sz val="10"/>
        <rFont val="WenQuanYi Zen Hei"/>
        <family val="2"/>
      </rPr>
      <t xml:space="preserve">の違いが分からない</t>
    </r>
  </si>
  <si>
    <t xml:space="preserve">向き不向き比較</t>
  </si>
  <si>
    <t xml:space="preserve">19</t>
  </si>
  <si>
    <t xml:space="preserve">高額講座が必要か迷う</t>
  </si>
  <si>
    <t xml:space="preserve">買う前に確認すること</t>
  </si>
  <si>
    <t xml:space="preserve">1, 5</t>
  </si>
  <si>
    <r>
      <rPr>
        <sz val="10"/>
        <rFont val="WenQuanYi Zen Hei"/>
        <family val="2"/>
      </rPr>
      <t xml:space="preserve">投稿から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への誘導が分からない</t>
    </r>
  </si>
  <si>
    <t xml:space="preserve">販売導線の基本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</si>
  <si>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の文章が自分らしくない</t>
    </r>
  </si>
  <si>
    <r>
      <rPr>
        <sz val="10"/>
        <rFont val="WenQuanYi Zen Hei"/>
        <family val="2"/>
      </rPr>
      <t xml:space="preserve">体験談を残す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活用</t>
    </r>
  </si>
  <si>
    <t xml:space="preserve">18</t>
  </si>
  <si>
    <t xml:space="preserve">（追加）副業を始めては辞めてしまう</t>
  </si>
  <si>
    <t xml:space="preserve">辞めた副業から合わないものを消す</t>
  </si>
  <si>
    <t xml:space="preserve">7</t>
  </si>
  <si>
    <t xml:space="preserve">（追加）副業候補を整理できない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</si>
  <si>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に「向いていない副業」を聞く</t>
    </r>
  </si>
  <si>
    <t xml:space="preserve">24</t>
  </si>
  <si>
    <t xml:space="preserve">（追加）無料相談で勧誘されそうで不安</t>
  </si>
  <si>
    <r>
      <rPr>
        <sz val="10"/>
        <rFont val="WenQuanYi Zen Hei"/>
        <family val="2"/>
      </rPr>
      <t xml:space="preserve">無料相談で聞く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つの質問</t>
    </r>
  </si>
  <si>
    <t xml:space="preserve">22</t>
  </si>
  <si>
    <t xml:space="preserve">（追加）毎日投稿が続かない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</si>
  <si>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行記録</t>
    </r>
  </si>
  <si>
    <t xml:space="preserve">25</t>
  </si>
  <si>
    <t xml:space="preserve">（追加）コピペなど基本操作が不安</t>
  </si>
  <si>
    <r>
      <rPr>
        <sz val="10"/>
        <rFont val="WenQuanYi Zen Hei"/>
        <family val="2"/>
      </rPr>
      <t xml:space="preserve">スマホ・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のコピペ手順</t>
    </r>
  </si>
  <si>
    <t xml:space="preserve">27</t>
  </si>
  <si>
    <t xml:space="preserve">（追加）副業したいけど一歩を踏み出せない</t>
  </si>
  <si>
    <t xml:space="preserve">言い訳より別の方法</t>
  </si>
  <si>
    <t xml:space="preserve">深い悩み</t>
  </si>
  <si>
    <t xml:space="preserve">定年後のお金が足りるか怖い</t>
  </si>
  <si>
    <t xml:space="preserve">会社以外の収入源</t>
  </si>
  <si>
    <t xml:space="preserve">また副業に失敗したら立ち直れない</t>
  </si>
  <si>
    <t xml:space="preserve">小さく始める安心感</t>
  </si>
  <si>
    <t xml:space="preserve">8</t>
  </si>
  <si>
    <t xml:space="preserve">家族にこれ以上心配をかけたくない</t>
  </si>
  <si>
    <t xml:space="preserve">家族への責任</t>
  </si>
  <si>
    <t xml:space="preserve">自分だけ人生で遅れている気がする</t>
  </si>
  <si>
    <t xml:space="preserve">人との比較からの卒業</t>
  </si>
  <si>
    <t xml:space="preserve">もう年齢的に手遅れではないか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</si>
  <si>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代の再挑戦</t>
    </r>
  </si>
  <si>
    <t xml:space="preserve">何度も失敗して自信を失った</t>
  </si>
  <si>
    <t xml:space="preserve">失敗から得た力</t>
  </si>
  <si>
    <t xml:space="preserve">子どもや家族に頑張る姿を見せたい</t>
  </si>
  <si>
    <t xml:space="preserve">家族への思い</t>
  </si>
  <si>
    <t xml:space="preserve">また高額な教材を買ってしまいそう</t>
  </si>
  <si>
    <t xml:space="preserve">損失回避</t>
  </si>
  <si>
    <t xml:space="preserve">26</t>
  </si>
  <si>
    <t xml:space="preserve">体力仕事をいつまで続けられるか不安</t>
  </si>
  <si>
    <t xml:space="preserve">在宅でできる仕事</t>
  </si>
  <si>
    <t xml:space="preserve">派遣契約が終わったらどうしよう</t>
  </si>
  <si>
    <t xml:space="preserve">雇用への不安</t>
  </si>
  <si>
    <t xml:space="preserve">妻に申し訳ない気持ちがある</t>
  </si>
  <si>
    <t xml:space="preserve">家族と再出発</t>
  </si>
  <si>
    <t xml:space="preserve">自分には何の取り柄もないと思う</t>
  </si>
  <si>
    <t xml:space="preserve">過去の経験の価値</t>
  </si>
  <si>
    <t xml:space="preserve">稼げる人を見ると嫉妬してしまう</t>
  </si>
  <si>
    <t xml:space="preserve">成功者との比較</t>
  </si>
  <si>
    <t xml:space="preserve">老後を仕事だけで終えたくない</t>
  </si>
  <si>
    <t xml:space="preserve">旅行と自由な時間</t>
  </si>
  <si>
    <t xml:space="preserve">失敗を人に知られるのが恥ずかしい</t>
  </si>
  <si>
    <t xml:space="preserve">正直な挑戦記</t>
  </si>
  <si>
    <t xml:space="preserve">1, 7</t>
  </si>
  <si>
    <t xml:space="preserve">何を信じればいいか分からない</t>
  </si>
  <si>
    <t xml:space="preserve">情報の見極め</t>
  </si>
  <si>
    <t xml:space="preserve">努力しても報われないのが怖い</t>
  </si>
  <si>
    <t xml:space="preserve">行動と検証の違い</t>
  </si>
  <si>
    <t xml:space="preserve">もう大金を失う余裕がない</t>
  </si>
  <si>
    <t xml:space="preserve">低予算での再挑戦</t>
  </si>
  <si>
    <t xml:space="preserve">誰にも相談できず孤独を感じる</t>
  </si>
  <si>
    <t xml:space="preserve">同世代の仲間</t>
  </si>
  <si>
    <t xml:space="preserve">29</t>
  </si>
  <si>
    <t xml:space="preserve">最後に一度、自分の力で稼ぎたい</t>
  </si>
  <si>
    <t xml:space="preserve">初収益への挑戦</t>
  </si>
  <si>
    <t xml:space="preserve">30</t>
  </si>
  <si>
    <r>
      <rPr>
        <i val="true"/>
        <sz val="9"/>
        <color rgb="FF595959"/>
        <rFont val="WenQuanYi Zen Hei"/>
        <family val="2"/>
      </rPr>
      <t xml:space="preserve">↑黄色の行：コメントで集まった悩みを追記（次の</t>
    </r>
    <r>
      <rPr>
        <i val="true"/>
        <sz val="9"/>
        <color rgb="FF595959"/>
        <rFont val="Meiryo"/>
        <family val="0"/>
        <charset val="1"/>
      </rPr>
      <t xml:space="preserve">30</t>
    </r>
    <r>
      <rPr>
        <i val="true"/>
        <sz val="9"/>
        <color rgb="FF595959"/>
        <rFont val="WenQuanYi Zen Hei"/>
        <family val="2"/>
      </rPr>
      <t xml:space="preserve">日の企画に使う）</t>
    </r>
  </si>
  <si>
    <r>
      <rPr>
        <b val="true"/>
        <sz val="14"/>
        <color rgb="FF1F3864"/>
        <rFont val="Meiryo"/>
        <family val="0"/>
        <charset val="1"/>
      </rPr>
      <t xml:space="preserve">30</t>
    </r>
    <r>
      <rPr>
        <b val="true"/>
        <sz val="14"/>
        <color rgb="FF1F3864"/>
        <rFont val="WenQuanYi Zen Hei"/>
        <family val="2"/>
      </rPr>
      <t xml:space="preserve">日投稿スケジュール｜冒頭案</t>
    </r>
    <r>
      <rPr>
        <b val="true"/>
        <sz val="14"/>
        <color rgb="FF1F3864"/>
        <rFont val="Meiryo"/>
        <family val="0"/>
        <charset val="1"/>
      </rPr>
      <t xml:space="preserve">3</t>
    </r>
    <r>
      <rPr>
        <b val="true"/>
        <sz val="14"/>
        <color rgb="FF1F3864"/>
        <rFont val="WenQuanYi Zen Hei"/>
        <family val="2"/>
      </rPr>
      <t xml:space="preserve">つ＋本文＋ツリー</t>
    </r>
  </si>
  <si>
    <t xml:space="preserve">開始日</t>
  </si>
  <si>
    <r>
      <rPr>
        <sz val="9"/>
        <color rgb="FF595959"/>
        <rFont val="WenQuanYi Zen Hei"/>
        <family val="2"/>
      </rPr>
      <t xml:space="preserve">使い方：①</t>
    </r>
    <r>
      <rPr>
        <sz val="9"/>
        <color rgb="FF595959"/>
        <rFont val="Meiryo"/>
        <family val="0"/>
        <charset val="1"/>
      </rPr>
      <t xml:space="preserve">B2</t>
    </r>
    <r>
      <rPr>
        <sz val="9"/>
        <color rgb="FF595959"/>
        <rFont val="WenQuanYi Zen Hei"/>
        <family val="2"/>
      </rPr>
      <t xml:space="preserve">に開始日　②「採用する冒頭」で</t>
    </r>
    <r>
      <rPr>
        <sz val="9"/>
        <color rgb="FF595959"/>
        <rFont val="Meiryo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を選ぶ→「</t>
    </r>
    <r>
      <rPr>
        <sz val="9"/>
        <color rgb="FF595959"/>
        <rFont val="Meiryo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投稿目コピペ用」が自動で切り替わる　③</t>
    </r>
    <r>
      <rPr>
        <sz val="9"/>
        <color rgb="FF595959"/>
        <rFont val="Meiryo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投稿目→ツリー（</t>
    </r>
    <r>
      <rPr>
        <sz val="9"/>
        <color rgb="FF595959"/>
        <rFont val="Meiryo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投稿目）の順に投稿。文字数は</t>
    </r>
    <r>
      <rPr>
        <sz val="9"/>
        <color rgb="FF595959"/>
        <rFont val="Meiryo"/>
        <family val="0"/>
        <charset val="1"/>
      </rPr>
      <t xml:space="preserve">Threads</t>
    </r>
    <r>
      <rPr>
        <sz val="9"/>
        <color rgb="FF595959"/>
        <rFont val="WenQuanYi Zen Hei"/>
        <family val="2"/>
      </rPr>
      <t xml:space="preserve">の上限</t>
    </r>
    <r>
      <rPr>
        <sz val="9"/>
        <color rgb="FF595959"/>
        <rFont val="Meiryo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字以内か自動チェック。黄色セル＝入力欄。</t>
    </r>
  </si>
  <si>
    <t xml:space="preserve">【　】は投稿前に実数へ書き換える箇所。冒頭案①＝衝撃の事実寄り／②＝常識破壊寄り／③＝別角度（どれも本文につながるように作成）。</t>
  </si>
  <si>
    <t xml:space="preserve">Day</t>
  </si>
  <si>
    <t xml:space="preserve">日付</t>
  </si>
  <si>
    <t xml:space="preserve">曜日</t>
  </si>
  <si>
    <t xml:space="preserve">悩み区分</t>
  </si>
  <si>
    <t xml:space="preserve">フェーズ</t>
  </si>
  <si>
    <t xml:space="preserve">構造型</t>
  </si>
  <si>
    <t xml:space="preserve">構造名</t>
  </si>
  <si>
    <t xml:space="preserve">狙う悩み</t>
  </si>
  <si>
    <t xml:space="preserve">投稿テーマ</t>
  </si>
  <si>
    <t xml:space="preserve">参考バズ投稿</t>
  </si>
  <si>
    <t xml:space="preserve">冒頭案①</t>
  </si>
  <si>
    <t xml:space="preserve">冒頭案②</t>
  </si>
  <si>
    <t xml:space="preserve">冒頭案③</t>
  </si>
  <si>
    <t xml:space="preserve">採用する冒頭</t>
  </si>
  <si>
    <t xml:space="preserve">本文（冒頭の続き）</t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</si>
  <si>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投稿目コピペ用（自動）</t>
    </r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</si>
  <si>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投稿目 文字数</t>
    </r>
  </si>
  <si>
    <r>
      <rPr>
        <b val="true"/>
        <sz val="10"/>
        <color rgb="FFFFFFFF"/>
        <rFont val="WenQuanYi Zen Hei"/>
        <family val="2"/>
      </rPr>
      <t xml:space="preserve">ツリー（</t>
    </r>
    <r>
      <rPr>
        <b val="true"/>
        <sz val="10"/>
        <color rgb="FFFFFFFF"/>
        <rFont val="Meiryo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投稿目）理由・対策・未来・導線</t>
    </r>
  </si>
  <si>
    <t xml:space="preserve">ツリー 文字数</t>
  </si>
  <si>
    <t xml:space="preserve">返信を生む問い</t>
  </si>
  <si>
    <t xml:space="preserve">狙う指標</t>
  </si>
  <si>
    <t xml:space="preserve">投稿時間（仮説）</t>
  </si>
  <si>
    <t xml:space="preserve">浅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</si>
  <si>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週目：認知（衝撃・自己紹介）</t>
    </r>
  </si>
  <si>
    <t xml:space="preserve">どの副業を選べばいいか分からない／高額講座に手を出しがち</t>
  </si>
  <si>
    <r>
      <rPr>
        <sz val="10"/>
        <rFont val="WenQuanYi Zen Hei"/>
        <family val="2"/>
      </rPr>
      <t xml:space="preserve">副業と独立に約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万円使った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代の自己紹介（固定投稿にする）</t>
    </r>
  </si>
  <si>
    <r>
      <rPr>
        <sz val="10"/>
        <rFont val="Meiryo"/>
        <family val="0"/>
        <charset val="1"/>
      </rPr>
      <t xml:space="preserve">saori.bihada.recipe</t>
    </r>
    <r>
      <rPr>
        <sz val="10"/>
        <rFont val="WenQuanYi Zen Hei"/>
        <family val="2"/>
      </rPr>
      <t xml:space="preserve">（年齢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悔しさ）＋</t>
    </r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1/2</t>
    </r>
    <r>
      <rPr>
        <sz val="10"/>
        <rFont val="WenQuanYi Zen Hei"/>
        <family val="2"/>
      </rPr>
      <t xml:space="preserve">で切る）</t>
    </r>
  </si>
  <si>
    <r>
      <rPr>
        <sz val="10"/>
        <rFont val="WenQuanYi Zen Hei"/>
        <family val="2"/>
      </rPr>
      <t xml:space="preserve">副業と独立に、合計約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万円使いました。
それでも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代の今、まだ脱サラできていません。</t>
    </r>
  </si>
  <si>
    <r>
      <rPr>
        <sz val="10"/>
        <rFont val="WenQuanYi Zen Hei"/>
        <family val="2"/>
      </rPr>
      <t xml:space="preserve">「副業は自己投資が大事」。
この言葉を信じて、約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万円を使った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代です。</t>
    </r>
  </si>
  <si>
    <r>
      <rPr>
        <sz val="10"/>
        <rFont val="WenQuanYi Zen Hei"/>
        <family val="2"/>
      </rPr>
      <t xml:space="preserve">コンサルを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件受けた僕が断言します。
副業迷子の原因は「知識不足」じゃありません。</t>
    </r>
  </si>
  <si>
    <r>
      <rPr>
        <sz val="10"/>
        <rFont val="WenQuanYi Zen Hei"/>
        <family val="2"/>
      </rPr>
      <t xml:space="preserve">ブログは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年。朝早く起きて、夜は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時まで書きました。
アフィリエイト、メルマガ、</t>
    </r>
    <r>
      <rPr>
        <sz val="10"/>
        <rFont val="Meiryo"/>
        <family val="0"/>
        <charset val="1"/>
      </rPr>
      <t xml:space="preserve">eBay</t>
    </r>
    <r>
      <rPr>
        <sz val="10"/>
        <rFont val="WenQuanYi Zen Hei"/>
        <family val="2"/>
      </rPr>
      <t xml:space="preserve">輸出、カメラ転売。
清掃業で独立して、廃業したこともあります。
「次こそは」と申し込みボタンを押すたびに、
妻の顔が浮かびました。
でも、うまくいかなかった原因は
才能でも、年齢でもなかった。
「自分に合うか」を確かめる前に、
お金を払っていたことです。
（続きはツリーへ👇）</t>
    </r>
  </si>
  <si>
    <r>
      <rPr>
        <sz val="10"/>
        <rFont val="WenQuanYi Zen Hei"/>
        <family val="2"/>
      </rPr>
      <t xml:space="preserve">成功者じゃない僕が、これだけは言えます。
同じ失敗を、全部自分の財布で試したからです。
講座を探す前に、この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つだけやってください。
①平日に使える時間を「分」で書き出す
②英語・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・体力など、苦手を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つ書く
③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万円以上の申し込みは</t>
    </r>
    <r>
      <rPr>
        <sz val="10"/>
        <rFont val="Meiryo"/>
        <family val="0"/>
        <charset val="1"/>
      </rPr>
      <t xml:space="preserve">48</t>
    </r>
    <r>
      <rPr>
        <sz val="10"/>
        <rFont val="WenQuanYi Zen Hei"/>
        <family val="2"/>
      </rPr>
      <t xml:space="preserve">時間寝かせる
これを知っていれば、遠回りの半分は避けられたと思っています。
家族に心配をかけない副業選びを。
僕の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万円の遠回りは、プロフィールの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に全部まとめました。
同じ副業迷子の方、フォローして一緒に抜け出しましょう。</t>
    </r>
  </si>
  <si>
    <t xml:space="preserve">あなたが一番お金を使った副業は何ですか？</t>
  </si>
  <si>
    <t xml:space="preserve">認知・プロフィール遷移（固定投稿）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</si>
  <si>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で文字入力が遅い・小さい文字が打てない</t>
    </r>
  </si>
  <si>
    <r>
      <rPr>
        <sz val="10"/>
        <rFont val="WenQuanYi Zen Hei"/>
        <family val="2"/>
      </rPr>
      <t xml:space="preserve">小さい「ゃ」も打てなかった僕の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入門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</si>
  <si>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（苦手ではなく教わっていないだけ）</t>
    </r>
  </si>
  <si>
    <r>
      <rPr>
        <sz val="10"/>
        <rFont val="WenQuanYi Zen Hei"/>
        <family val="2"/>
      </rPr>
      <t xml:space="preserve">ブログを始めた</t>
    </r>
    <r>
      <rPr>
        <sz val="10"/>
        <rFont val="Meiryo"/>
        <family val="0"/>
        <charset val="1"/>
      </rPr>
      <t xml:space="preserve">40</t>
    </r>
    <r>
      <rPr>
        <sz val="10"/>
        <rFont val="WenQuanYi Zen Hei"/>
        <family val="2"/>
      </rPr>
      <t xml:space="preserve">代の頃、
僕は小さい「ゃ」の打ち方すら知りませんでした。</t>
    </r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</si>
  <si>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代がパソコンを苦手なのは、才能のせいではありません。
誰にも「打ち方」を教わっていないだけです。</t>
    </r>
  </si>
  <si>
    <r>
      <rPr>
        <sz val="10"/>
        <rFont val="WenQuanYi Zen Hei"/>
        <family val="2"/>
      </rPr>
      <t xml:space="preserve">キーボードが打てなくても大丈夫。
今は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に「話しかけるだけ」で副業の準備ができます。</t>
    </r>
  </si>
  <si>
    <r>
      <rPr>
        <sz val="10"/>
        <rFont val="WenQuanYi Zen Hei"/>
        <family val="2"/>
      </rPr>
      <t xml:space="preserve">「しゃ」「きょ」が打てない。
「</t>
    </r>
    <r>
      <rPr>
        <sz val="10"/>
        <rFont val="Meiryo"/>
        <family val="0"/>
        <charset val="1"/>
      </rPr>
      <t xml:space="preserve">@</t>
    </r>
    <r>
      <rPr>
        <sz val="10"/>
        <rFont val="WenQuanYi Zen Hei"/>
        <family val="2"/>
      </rPr>
      <t xml:space="preserve">」がどこにあるか分からない。
家族に聞くのも、なんだか気まずい。
僕もそうでした。
小さい文字を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つずつ検索して、やっと覚えました。
できなかった理由は単純です。
学校でも会社でも、誰も教えてくれなかった。
苦手なんじゃなくて「知らなかった」だけなんです。
（今日から使える方法はツリーへ👇）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</si>
  <si>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が超苦手だった僕が、遠回りして覚えたこと。
①小さい文字は「</t>
    </r>
    <r>
      <rPr>
        <sz val="10"/>
        <rFont val="Meiryo"/>
        <family val="0"/>
        <charset val="1"/>
      </rPr>
      <t xml:space="preserve">L</t>
    </r>
    <r>
      <rPr>
        <sz val="10"/>
        <rFont val="WenQuanYi Zen Hei"/>
        <family val="2"/>
      </rPr>
      <t xml:space="preserve">」か「</t>
    </r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」を先に打つ（</t>
    </r>
    <r>
      <rPr>
        <sz val="10"/>
        <rFont val="Meiryo"/>
        <family val="0"/>
        <charset val="1"/>
      </rPr>
      <t xml:space="preserve">L→Y→A</t>
    </r>
    <r>
      <rPr>
        <sz val="10"/>
        <rFont val="WenQuanYi Zen Hei"/>
        <family val="2"/>
      </rPr>
      <t xml:space="preserve">で「ゃ」）
②スマホなら音声入力で</t>
    </r>
    <r>
      <rPr>
        <sz val="10"/>
        <rFont val="Meiryo"/>
        <family val="0"/>
        <charset val="1"/>
      </rPr>
      <t xml:space="preserve">OK</t>
    </r>
    <r>
      <rPr>
        <sz val="10"/>
        <rFont val="WenQuanYi Zen Hei"/>
        <family val="2"/>
      </rPr>
      <t xml:space="preserve">。マイクを押して話すだけ
③分からない操作は「やりたいこと＋やり方」で検索
④それでも分からなければ「ここまでやった」を添えて人に聞く
文字が打てるようになると、
家族に聞く回数が減って、自分で調べる楽しさが戻ってきます。
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苦手な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代のための「最初の一歩」は、プロフィールの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に。
フォローして、一緒にゆっくり進みましょう。</t>
    </r>
  </si>
  <si>
    <t xml:space="preserve">パソコンで一番困っている操作は何ですか？</t>
  </si>
  <si>
    <t xml:space="preserve">共感・保存・返信</t>
  </si>
  <si>
    <t xml:space="preserve">深</t>
  </si>
  <si>
    <t xml:space="preserve">もう年齢的に手遅れではないか／雇用の不安</t>
  </si>
  <si>
    <r>
      <rPr>
        <sz val="10"/>
        <rFont val="WenQuanYi Zen Hei"/>
        <family val="2"/>
      </rPr>
      <t xml:space="preserve">年齢で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社に断られた日</t>
    </r>
  </si>
  <si>
    <r>
      <rPr>
        <sz val="10"/>
        <rFont val="Meiryo"/>
        <family val="0"/>
        <charset val="1"/>
      </rPr>
      <t xml:space="preserve">saori.bihada.recipe</t>
    </r>
    <r>
      <rPr>
        <sz val="10"/>
        <rFont val="WenQuanYi Zen Hei"/>
        <family val="2"/>
      </rPr>
      <t xml:space="preserve">（他者の否定→悔しさ→それでも→問い）</t>
    </r>
  </si>
  <si>
    <r>
      <rPr>
        <sz val="10"/>
        <rFont val="WenQuanYi Zen Hei"/>
        <family val="2"/>
      </rPr>
      <t xml:space="preserve">年齢を理由に断られた会社、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社。
体は、まだちゃんと動くのに。</t>
    </r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</si>
  <si>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代の最大の敵は、体力じゃない。
履歴書に書く「年齢の数字」です。</t>
    </r>
  </si>
  <si>
    <t xml:space="preserve">フォークリフトを運転すれば、正社員と間違えられる。
それでも、書類では年齢で落とされます。</t>
  </si>
  <si>
    <r>
      <rPr>
        <sz val="10"/>
        <rFont val="WenQuanYi Zen Hei"/>
        <family val="2"/>
      </rPr>
      <t xml:space="preserve">仕事がない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ヶ月間。
面接に行っては、断られて帰る日々でした。
悔しかった。
「なんで、体は動くのに」と何度も思いました。
でも、言い訳だけはしたくなかった。
言い訳をするくらいなら、別の方法を考える。
だから決めました。
会社だけに、人生を預けるのはやめる。
今は派遣で働きながら、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と</t>
    </r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で、もう一度挑戦しています。
年齢を理由に、何かを諦めかけたことはありますか？</t>
    </r>
  </si>
  <si>
    <r>
      <rPr>
        <sz val="10"/>
        <rFont val="WenQuanYi Zen Hei"/>
        <family val="2"/>
      </rPr>
      <t xml:space="preserve">成功者ではありません。まだ挑戦の途中です。
だからこそ、年齢で落とされた悔しさも、
そこから立ち上がる過程も、全部ここに書いていきます。
同じように「もう遅いのかな」と思っている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代の方。
フォローして、一緒に見届けてください。
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には、年齢の壁にぶつかってから
副業を選び直した手順をまとめています。</t>
    </r>
  </si>
  <si>
    <t xml:space="preserve">年齢を理由に、何かを諦めかけたことはありますか？</t>
  </si>
  <si>
    <t xml:space="preserve">共感・返信・フォロー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</si>
  <si>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の始め方・何を聞けばいいか分からない</t>
    </r>
  </si>
  <si>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に最初にしてはいけない質問</t>
    </r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</si>
  <si>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NG</t>
    </r>
    <r>
      <rPr>
        <sz val="10"/>
        <rFont val="WenQuanYi Zen Hei"/>
        <family val="2"/>
      </rPr>
      <t xml:space="preserve">リスト→</t>
    </r>
    <r>
      <rPr>
        <sz val="10"/>
        <rFont val="Meiryo"/>
        <family val="0"/>
        <charset val="1"/>
      </rPr>
      <t xml:space="preserve">1/2</t>
    </r>
    <r>
      <rPr>
        <sz val="10"/>
        <rFont val="WenQuanYi Zen Hei"/>
        <family val="2"/>
      </rPr>
      <t xml:space="preserve">で切る→</t>
    </r>
    <r>
      <rPr>
        <sz val="10"/>
        <rFont val="Meiryo"/>
        <family val="0"/>
        <charset val="1"/>
      </rPr>
      <t xml:space="preserve">2/2</t>
    </r>
    <r>
      <rPr>
        <sz val="10"/>
        <rFont val="WenQuanYi Zen Hei"/>
        <family val="2"/>
      </rPr>
      <t xml:space="preserve">で答え）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</si>
  <si>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初心者が</t>
    </r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に最初にしてはいけない質問。
「稼げる副業を教えて」。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</si>
  <si>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は「検索窓」じゃありません。
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代が使うなら「相談相手」です。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</si>
  <si>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を使っても答えがピンとこないのは、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じゃなく「聞き方」の問題です。</t>
    </r>
  </si>
  <si>
    <r>
      <rPr>
        <sz val="10"/>
        <rFont val="WenQuanYi Zen Hei"/>
        <family val="2"/>
      </rPr>
      <t xml:space="preserve">同じ理由で、避けたい質問はこちら。
・おすすめの副業は？
・簡単に稼ぐ方法は？
・ブログの書き方を教えて
どれも、誰が聞いても同じ答えが返ってきます。
あなたの年齢も、時間も、苦手も、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は知らないから。
では、最初に何を聞けばいいのか。</t>
    </r>
  </si>
  <si>
    <r>
      <rPr>
        <sz val="10"/>
        <rFont val="WenQuanYi Zen Hei"/>
        <family val="2"/>
      </rPr>
      <t xml:space="preserve">答えは「自分のことを先に話す」です。
たとえば、こう聞いてみてください。
「私は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代、パソコンは苦手です。
平日に使えるのは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分、使えるお金は月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千円まで。
この条件で、向いている副業を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つ、
中学生にも分かる言葉で、理由付きで教えてください」
条件を渡すほど、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は「あなた専用」の相談相手になります。
僕が使っている質問の型は、プロフィールの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にまとめました。
保存して、今夜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回だけ試してみてください。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</si>
  <si>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に聞いてみたいこと、コメントで教えてください</t>
    </r>
  </si>
  <si>
    <t xml:space="preserve">保存・ツリー遷移</t>
  </si>
  <si>
    <t xml:space="preserve">高額講座が必要か迷う・どの教材を選べばいいか</t>
  </si>
  <si>
    <r>
      <rPr>
        <sz val="10"/>
        <rFont val="WenQuanYi Zen Hei"/>
        <family val="2"/>
      </rPr>
      <t xml:space="preserve">コンサル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件受けて分かった、申し込む前のチェック</t>
    </r>
  </si>
  <si>
    <r>
      <rPr>
        <sz val="10"/>
        <rFont val="Meiryo"/>
        <family val="0"/>
        <charset val="1"/>
      </rPr>
      <t xml:space="preserve">aigogo1701</t>
    </r>
    <r>
      <rPr>
        <sz val="10"/>
        <rFont val="WenQuanYi Zen Hei"/>
        <family val="2"/>
      </rPr>
      <t xml:space="preserve">（弱み→強みの反転）</t>
    </r>
  </si>
  <si>
    <r>
      <rPr>
        <sz val="10"/>
        <rFont val="WenQuanYi Zen Hei"/>
        <family val="2"/>
      </rPr>
      <t xml:space="preserve">コンサルを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件受けて分かりました。
高額講座で稼げるかどうかは「申し込む前」にほぼ決まっています。</t>
    </r>
  </si>
  <si>
    <t xml:space="preserve">「残りわずか」「今だけ価格」。
その講座、たいてい今じゃなくても大丈夫です。</t>
  </si>
  <si>
    <t xml:space="preserve">講座選びで一番大事なのは、
講師の実績ではありません。</t>
  </si>
  <si>
    <t xml:space="preserve">夜中にセミナー動画を見て、
「この人についていけば変われるかも」と胸が熱くなる。
気づけば、カード番号を入力している。
僕は、これを何度も繰り返しました。
でも、講座が悪かったとは思っていません。
実際に、同じ講座で成果を出した人もいました。
合っていなかったのは、
講座の中身と「僕の時間と苦手」でした。
（申し込む前のチェックはツリーへ👇）</t>
  </si>
  <si>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件受けた僕が、今なら必ず確認すること。
①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週間に何時間の作業が必要か
②サポートの回数と期間（書面で）
③自分の苦手な作業が入っていないか
④返金・解約の条件
⑤一晩、家族に話してから決める
これだけで「こんなはずじゃなかった」はかなり減ります。
家族に隠しごとをしない副業は、続きます。
講座を選ぶ前の全チェック項目は、プロフィールの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にまとめています。</t>
    </r>
  </si>
  <si>
    <t xml:space="preserve">講座に申し込んで後悔したこと、ありますか？</t>
  </si>
  <si>
    <r>
      <rPr>
        <sz val="10"/>
        <rFont val="WenQuanYi Zen Hei"/>
        <family val="2"/>
      </rPr>
      <t xml:space="preserve">保存・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関心</t>
    </r>
  </si>
  <si>
    <t xml:space="preserve">何を投稿すればいいか分からない・ネタがない</t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</si>
  <si>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年の日記と、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代のネタの掘り出し方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</si>
  <si>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（再定義救済）</t>
    </r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</si>
  <si>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年以上、日記を書き続けてきました。
それが今、副業でいちばんの武器になっています。</t>
    </r>
  </si>
  <si>
    <r>
      <rPr>
        <sz val="10"/>
        <rFont val="WenQuanYi Zen Hei"/>
        <family val="2"/>
      </rPr>
      <t xml:space="preserve">「発信するネタがない」という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代ほど、
実はネタを一番持っています。</t>
    </r>
  </si>
  <si>
    <t xml:space="preserve">失敗談は、恥ではありません。
誰かにとっての「地図」です。</t>
  </si>
  <si>
    <r>
      <rPr>
        <sz val="10"/>
        <rFont val="WenQuanYi Zen Hei"/>
        <family val="2"/>
      </rPr>
      <t xml:space="preserve">「若い人みたいに、おしゃれな話はできない」
「人に教えられることなんて、何もない」
スマホを開いても、何を書けばいいか分からない。
でも、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年分の毎日の中に、ネタは全部あります。
転職、子育て、介護、失敗した副業。
同じ悩みを持つ人にとって、
それは教科書より役に立つ「本物の体験」です。
（ネタの掘り出し方はツリーへ👇）</t>
    </r>
  </si>
  <si>
    <r>
      <rPr>
        <sz val="10"/>
        <rFont val="WenQuanYi Zen Hei"/>
        <family val="2"/>
      </rPr>
      <t xml:space="preserve">僕は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年日記から始めて、今は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年日記の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冊目です。
見返して「あの時こうだった」と助けられたことが何度もあります。
ネタの掘り出し方は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つ。
①今までの仕事を全部書き出す
②一番悔しかった出来事を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つ書く
③それを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に渡して「この体験から投稿ネタを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つ」と聞く
あなたの遠回りは、誰かの近道になります。
体験を投稿と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に変える手順は、プロフィールの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に載せています。</t>
    </r>
  </si>
  <si>
    <t xml:space="preserve">あなたが一番長く続けていることは何ですか？</t>
  </si>
  <si>
    <t xml:space="preserve">保存・フォロー</t>
  </si>
  <si>
    <t xml:space="preserve">副業を始めては辞めてしまう</t>
  </si>
  <si>
    <t xml:space="preserve">副業、何回やめましたか？（参加型）</t>
  </si>
  <si>
    <r>
      <rPr>
        <sz val="10"/>
        <rFont val="Meiryo"/>
        <family val="0"/>
        <charset val="1"/>
      </rPr>
      <t xml:space="preserve">hikari.mama.09</t>
    </r>
    <r>
      <rPr>
        <sz val="10"/>
        <rFont val="WenQuanYi Zen Hei"/>
        <family val="2"/>
      </rPr>
      <t xml:space="preserve">（短い告白＋私だけ？）／</t>
    </r>
    <r>
      <rPr>
        <sz val="10"/>
        <rFont val="Meiryo"/>
        <family val="0"/>
        <charset val="1"/>
      </rPr>
      <t xml:space="preserve">sorakapu2710</t>
    </r>
    <r>
      <rPr>
        <sz val="10"/>
        <rFont val="WenQuanYi Zen Hei"/>
        <family val="2"/>
      </rPr>
      <t xml:space="preserve">（質問型）</t>
    </r>
  </si>
  <si>
    <t xml:space="preserve">副業、何回やめましたか？
僕は、途中で数えるのをやめました。</t>
  </si>
  <si>
    <t xml:space="preserve">三日坊主じゃありません。
僕は「三ヶ月坊主」でした。</t>
  </si>
  <si>
    <t xml:space="preserve">副業をやめた回数＝失敗の回数、
ではないと思っています。</t>
  </si>
  <si>
    <r>
      <rPr>
        <sz val="10"/>
        <rFont val="WenQuanYi Zen Hei"/>
        <family val="2"/>
      </rPr>
      <t xml:space="preserve">ブログ、アフィリエイト、メルマガ。
</t>
    </r>
    <r>
      <rPr>
        <sz val="10"/>
        <rFont val="Meiryo"/>
        <family val="0"/>
        <charset val="1"/>
      </rPr>
      <t xml:space="preserve">eBay</t>
    </r>
    <r>
      <rPr>
        <sz val="10"/>
        <rFont val="WenQuanYi Zen Hei"/>
        <family val="2"/>
      </rPr>
      <t xml:space="preserve">輸出、カメラ転売。
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ヶ月でやめてしまったものもあります。
やめるたびに「また続かなかった」と落ち込んで、
しばらくして、また次を探していました。
これって、僕だけですか？
あなたが挫折した副業、コメントで教えてください。
全部読みます。</t>
    </r>
  </si>
  <si>
    <r>
      <rPr>
        <sz val="10"/>
        <rFont val="WenQuanYi Zen Hei"/>
        <family val="2"/>
      </rPr>
      <t xml:space="preserve">コメントをくれた方には、僕の経験から一言ずつ返します。
やめた副業の数だけ、
「自分に合わないもの」が分かってきたはずです。
合わないものを消していくと、最後に残るものがあります。
その消し方は、プロフィールの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にまとめました。</t>
    </r>
  </si>
  <si>
    <t xml:space="preserve">あなたが挫折した副業は何ですか？</t>
  </si>
  <si>
    <t xml:space="preserve">返信数（悩み収集）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</si>
  <si>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週目：共感（本音・家族）</t>
    </r>
  </si>
  <si>
    <t xml:space="preserve">怖いのはお金より「自分にがっかりすること」</t>
  </si>
  <si>
    <r>
      <rPr>
        <sz val="10"/>
        <rFont val="Meiryo"/>
        <family val="0"/>
        <charset val="1"/>
      </rPr>
      <t xml:space="preserve">anata_mo_nihon_ichi</t>
    </r>
    <r>
      <rPr>
        <sz val="10"/>
        <rFont val="WenQuanYi Zen Hei"/>
        <family val="2"/>
      </rPr>
      <t xml:space="preserve">（焦り→今日の小さな一歩）</t>
    </r>
  </si>
  <si>
    <t xml:space="preserve">副業でいちばん怖いのは、お金を失うことじゃありません。
「また自分にがっかりすること」です。</t>
  </si>
  <si>
    <t xml:space="preserve">何度も失敗した人ほど、
次は「小さく」始めた方が強い。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</si>
  <si>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代の再挑戦に、気合いはいりません。</t>
    </r>
  </si>
  <si>
    <t xml:space="preserve">申し込むたびに「今度こそ」と思う。
成果が出ない月の夜、通帳を見てため息をつく。
家族には「大丈夫」と言いながら、
本当は自分が一番、自分を信じられなくなっている。
僕も、何度もそうなりました。
でも、怖さの正体は失敗そのものじゃなかった。
「取り返しのつかない大きさ」で挑戦していたことです。
（小さく始める方法はツリーへ👇）</t>
  </si>
  <si>
    <r>
      <rPr>
        <sz val="10"/>
        <rFont val="WenQuanYi Zen Hei"/>
        <family val="2"/>
      </rPr>
      <t xml:space="preserve">失敗を重ねた僕が、今やっている始め方です。
①使うお金の上限を、先に紙に書く
②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分だけ、と決める
③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日でいったん判定する
④毎日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行、記録を残す
小さく始めれば、うまくいかなくても
「次はこう直そう」で終われます。
もう一度、自分を信じるところからやり直しませんか。
僕の再挑戦の手順は、プロフィールの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にあります。</t>
    </r>
  </si>
  <si>
    <t xml:space="preserve">今、副業で一番怖いことは何ですか？</t>
  </si>
  <si>
    <t xml:space="preserve">共感・フォロー</t>
  </si>
  <si>
    <t xml:space="preserve">時間を作らず、習慣に「くっつける」</t>
  </si>
  <si>
    <r>
      <rPr>
        <sz val="10"/>
        <rFont val="Meiryo"/>
        <family val="0"/>
        <charset val="1"/>
      </rPr>
      <t xml:space="preserve">mone_gooday</t>
    </r>
    <r>
      <rPr>
        <sz val="10"/>
        <rFont val="WenQuanYi Zen Hei"/>
        <family val="2"/>
      </rPr>
      <t xml:space="preserve">（一行の権威→具体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つ→結論）</t>
    </r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</si>
  <si>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年以上日記を続けてきて分かったこと。
続く人は「時間」ではなく「タイミング」を決めています。</t>
    </r>
  </si>
  <si>
    <t xml:space="preserve">副業の時間は「作る」ものじゃありません。
もうある習慣に「乗せる」ものです。</t>
  </si>
  <si>
    <t xml:space="preserve">仕事終わりに副業ができないのは、
意志が弱いからではありません。</t>
  </si>
  <si>
    <r>
      <rPr>
        <sz val="10"/>
        <rFont val="WenQuanYi Zen Hei"/>
        <family val="2"/>
      </rPr>
      <t xml:space="preserve">立ち仕事を終えて家に帰る。
ごはんを食べたら、もう何もしたくない。
「明日こそ」と思って、スマホを見て寝てしまう。
当然です。
疲れた体で「新しい時間」を作ろうとするから続かない。
夕食後のお茶、寝る前の歯みがき、通勤の時間。
すでに毎日やっていることの「後ろ」に、
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分だけくっつける。
それだけで、副業は生活の一部になります。</t>
    </r>
  </si>
  <si>
    <r>
      <rPr>
        <sz val="10"/>
        <rFont val="WenQuanYi Zen Hei"/>
        <family val="2"/>
      </rPr>
      <t xml:space="preserve">たとえば、こんなくっつけ方です。
・朝のコーヒーの後 → 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に投稿ネタを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つ聞く
・昼休み → スマホで下書きを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
・夜の日記の前 → 投稿の反応を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行メモ
大きな時間はいりません。
続く人は、時間がある人ではなく、仕組みがある人です。
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代の副業スケジュール例は、プロフィールの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に。</t>
    </r>
  </si>
  <si>
    <t xml:space="preserve">毎日必ずやっている習慣は何ですか？</t>
  </si>
  <si>
    <t xml:space="preserve">保存・共感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</si>
  <si>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を「やさしい先生」に変えるひと言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</si>
  <si>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（あなたのせいではない）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</si>
  <si>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の答えが難しく感じるのは、
あなたの理解力のせいではありません。</t>
    </r>
  </si>
  <si>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に「中学生にも分かるように」と一言足すだけで、
答えが別物になります。</t>
    </r>
  </si>
  <si>
    <r>
      <rPr>
        <sz val="10"/>
        <rFont val="WenQuanYi Zen Hei"/>
        <family val="2"/>
      </rPr>
      <t xml:space="preserve">カタカナだらけの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の答えに、
そっとスマホを閉じたことはありませんか？</t>
    </r>
  </si>
  <si>
    <r>
      <rPr>
        <sz val="10"/>
        <rFont val="WenQuanYi Zen Hei"/>
        <family val="2"/>
      </rPr>
      <t xml:space="preserve">「プロンプト」「エンゲージメント」「マネタイズ」。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に聞いたのに、答えの意味が分からない。
もう一度聞くのも、なんだか情けない。
僕も最初はそうでした。
でも、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はあなたが誰なのかを知りません。
だから「平均的な大人向け」の言葉で答えてくるんです。
あなたに合わせてもらう「ひと言」を足せばいい。</t>
    </r>
  </si>
  <si>
    <r>
      <rPr>
        <sz val="10"/>
        <rFont val="WenQuanYi Zen Hei"/>
        <family val="2"/>
      </rPr>
      <t xml:space="preserve">質問の最後に、これを付けてみてください。
①「中学生にも分かる言葉で」
②「カタカナ語は日本語に言い換えて」
③「手順を番号付きで」
④「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回に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つずつ教えて」
これだけで、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は「やさしい先生」に変わります。
分からないまま閉じるのは、もったいない。
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苦手な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代向けの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質問テンプレは、プロフィールの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に。保存推奨です。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</si>
  <si>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の答えで分からなかった言葉は？</t>
    </r>
  </si>
  <si>
    <t xml:space="preserve">家族にこれ以上心配をかけたくない／妻に申し訳ない</t>
  </si>
  <si>
    <t xml:space="preserve">妻に言われた一言</t>
  </si>
  <si>
    <r>
      <rPr>
        <sz val="10"/>
        <rFont val="Meiryo"/>
        <family val="0"/>
        <charset val="1"/>
      </rPr>
      <t xml:space="preserve">saori.bihada.recipe</t>
    </r>
    <r>
      <rPr>
        <sz val="10"/>
        <rFont val="WenQuanYi Zen Hei"/>
        <family val="2"/>
      </rPr>
      <t xml:space="preserve">（家族の一言→弱点→それでも）</t>
    </r>
  </si>
  <si>
    <t xml:space="preserve">「苦手な分野に行くから、成果が出ないんじゃない？」
妻に言われたこの一言が、ずっと胸に残っています。</t>
  </si>
  <si>
    <t xml:space="preserve">副業でいちばん支えてくれた人に、
いちばん心配をかけてきました。</t>
  </si>
  <si>
    <t xml:space="preserve">家族に反対される副業は、
だいたい「自分の苦手」に突っ込んでいます。</t>
  </si>
  <si>
    <r>
      <rPr>
        <sz val="10"/>
        <rFont val="WenQuanYi Zen Hei"/>
        <family val="2"/>
      </rPr>
      <t xml:space="preserve">英語が苦手なのに、</t>
    </r>
    <r>
      <rPr>
        <sz val="10"/>
        <rFont val="Meiryo"/>
        <family val="0"/>
        <charset val="1"/>
      </rPr>
      <t xml:space="preserve">eBay</t>
    </r>
    <r>
      <rPr>
        <sz val="10"/>
        <rFont val="WenQuanYi Zen Hei"/>
        <family val="2"/>
      </rPr>
      <t xml:space="preserve">輸出。
ずっと張り付けないのに、カメラ転売。
妻の言う通りでした。
それでも、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の本を買ってきてくれたのは妻でした。
最初は反対していた相談会にも一緒に行って、
「この人なら信用できると思う」と言ってくれた。
今度こそ、苦手で戦わない。
妻に「やってよかったね」と言ってもらえるまで。
あなたの副業を、家族はどう見ていますか？</t>
    </r>
  </si>
  <si>
    <r>
      <rPr>
        <sz val="10"/>
        <rFont val="WenQuanYi Zen Hei"/>
        <family val="2"/>
      </rPr>
      <t xml:space="preserve">家族に応援される副業には、共通点があると思っています。
・お金の上限が見えている
・何をしているか説明できる
・自分の得意に近い
僕が「苦手で戦わない副業」を選び直した方法は、
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に書きました。
同じように家族に心配をかけてきた方、
フォローして一緒に進みましょう。</t>
    </r>
  </si>
  <si>
    <t xml:space="preserve">あなたの副業を、家族はどう見ていますか？</t>
  </si>
  <si>
    <r>
      <rPr>
        <sz val="10"/>
        <rFont val="WenQuanYi Zen Hei"/>
        <family val="2"/>
      </rPr>
      <t xml:space="preserve">最初の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日はスマホ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台で十分</t>
    </r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</si>
  <si>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（リスト→問いで切る）</t>
    </r>
  </si>
  <si>
    <t xml:space="preserve">「パソコンがないと副業できない」は、
もう昔の話です。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</si>
  <si>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代の副業、最初の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日はスマホ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台で十分です。</t>
    </r>
  </si>
  <si>
    <t xml:space="preserve">パソコンを買う前に、
まずスマホでやってほしいこと。</t>
  </si>
  <si>
    <r>
      <rPr>
        <sz val="10"/>
        <rFont val="WenQuanYi Zen Hei"/>
        <family val="2"/>
      </rPr>
      <t xml:space="preserve">スマホだけでできることは、こんなにあります。
・</t>
    </r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への投稿
・</t>
    </r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アプリに声で相談
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の下書き
・投稿ネタのメモ
・反応の記録
高いパソコンも、難しいソフトもいりません。
では、パソコンがあると楽になるのはいつなのか。</t>
    </r>
  </si>
  <si>
    <r>
      <rPr>
        <sz val="10"/>
        <rFont val="WenQuanYi Zen Hei"/>
        <family val="2"/>
      </rPr>
      <t xml:space="preserve">答えは「長い文章をじっくり整える時」です。
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本の商品に仕上げる段階で、あると楽になります。
つまり最初の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日は、
スマホで「続ける習慣」を作ることが先。
道具から揃えるほど、副業は始まりません。
スマホ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台で始める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日の手順は、
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にまとめています。</t>
    </r>
  </si>
  <si>
    <t xml:space="preserve">副業はスマホ派？パソコン派？</t>
  </si>
  <si>
    <t xml:space="preserve">副業の種類が多すぎて選べない・情報を調べすぎて動けない</t>
  </si>
  <si>
    <r>
      <rPr>
        <sz val="10"/>
        <rFont val="WenQuanYi Zen Hei"/>
        <family val="2"/>
      </rPr>
      <t xml:space="preserve">情報迷子から抜ける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つのルール</t>
    </r>
  </si>
  <si>
    <r>
      <rPr>
        <sz val="10"/>
        <rFont val="Meiryo"/>
        <family val="0"/>
        <charset val="1"/>
      </rPr>
      <t xml:space="preserve">anata_mo_nihon_ichi</t>
    </r>
    <r>
      <rPr>
        <sz val="10"/>
        <rFont val="WenQuanYi Zen Hei"/>
        <family val="2"/>
      </rPr>
      <t xml:space="preserve">（焦り→小さな一歩）</t>
    </r>
  </si>
  <si>
    <r>
      <rPr>
        <sz val="10"/>
        <rFont val="WenQuanYi Zen Hei"/>
        <family val="2"/>
      </rPr>
      <t xml:space="preserve">副業の</t>
    </r>
    <r>
      <rPr>
        <sz val="10"/>
        <rFont val="Meiryo"/>
        <family val="0"/>
        <charset val="1"/>
      </rPr>
      <t xml:space="preserve">YouTube</t>
    </r>
    <r>
      <rPr>
        <sz val="10"/>
        <rFont val="WenQuanYi Zen Hei"/>
        <family val="2"/>
      </rPr>
      <t xml:space="preserve">を見ている時間は、
副業ではありません。</t>
    </r>
  </si>
  <si>
    <t xml:space="preserve">「もう少し調べてから」。
これが副業迷子の口ぐせです。</t>
  </si>
  <si>
    <t xml:space="preserve">副業の情報を集めるほど不安になるのは、
あなたが真面目な証拠です。</t>
  </si>
  <si>
    <r>
      <rPr>
        <sz val="10"/>
        <rFont val="WenQuanYi Zen Hei"/>
        <family val="2"/>
      </rPr>
      <t xml:space="preserve">寝る前に布団でスマホ。
「スマホで月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万」「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で不労所得」。
見れば見るほど、どれも正解に見えてくる。
そして、何も始めないまま朝が来る。
情報が足りないんじゃありません。
選択肢が多すぎて、決められなくなっているだけ。
真面目な人ほど「全部知ってから」と思ってしまう。
僕も完璧主義で、ずっと遠回りしました。</t>
    </r>
  </si>
  <si>
    <r>
      <rPr>
        <sz val="10"/>
        <rFont val="WenQuanYi Zen Hei"/>
        <family val="2"/>
      </rPr>
      <t xml:space="preserve">情報迷子から抜ける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つのルール。
①見る発信者を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人に絞る
②調べる時間は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分まで
③学んだら</t>
    </r>
    <r>
      <rPr>
        <sz val="10"/>
        <rFont val="Meiryo"/>
        <family val="0"/>
        <charset val="1"/>
      </rPr>
      <t xml:space="preserve">24</t>
    </r>
    <r>
      <rPr>
        <sz val="10"/>
        <rFont val="WenQuanYi Zen Hei"/>
        <family val="2"/>
      </rPr>
      <t xml:space="preserve">時間以内に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つだけ試す
知識は、使ったときに初めて「自分のもの」になります。
何から試すかを決める手順は、プロフィールの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にまとめました。</t>
    </r>
  </si>
  <si>
    <t xml:space="preserve">最近見た副業情報で、気になったものは？</t>
  </si>
  <si>
    <t xml:space="preserve">共感・保存</t>
  </si>
  <si>
    <t xml:space="preserve">自分だけ人生で遅れている気がする／成功者と比べてしまう</t>
  </si>
  <si>
    <t xml:space="preserve">兄は副社長、僕は派遣社員</t>
  </si>
  <si>
    <r>
      <rPr>
        <sz val="10"/>
        <rFont val="Meiryo"/>
        <family val="0"/>
        <charset val="1"/>
      </rPr>
      <t xml:space="preserve">saori.bihada.recipe</t>
    </r>
    <r>
      <rPr>
        <sz val="10"/>
        <rFont val="WenQuanYi Zen Hei"/>
        <family val="2"/>
      </rPr>
      <t xml:space="preserve">（コンプレックス告白→それでも）</t>
    </r>
  </si>
  <si>
    <r>
      <rPr>
        <sz val="10"/>
        <rFont val="WenQuanYi Zen Hei"/>
        <family val="2"/>
      </rPr>
      <t xml:space="preserve">兄は、外資系企業で副社長まで上り詰めた人。
弟の僕は、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代の派遣社員です。</t>
    </r>
  </si>
  <si>
    <t xml:space="preserve">比べる相手を変えただけで、
副業への向き合い方が変わりました。</t>
  </si>
  <si>
    <r>
      <rPr>
        <sz val="10"/>
        <rFont val="WenQuanYi Zen Hei"/>
        <family val="2"/>
      </rPr>
      <t xml:space="preserve">同級生の「あと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年はこの会社で頑張る」という言葉に、
正直、焦りました。</t>
    </r>
  </si>
  <si>
    <t xml:space="preserve">兄は勉強ができて、僕はサッカーができた。
子どもの頃は、それでよかった。
でも大人になって、
兄のキャンピングカーを見たとき、
同級生の安定した暮らしを聞いたとき、
胸の奥がチクッとしました。
比べても、兄にはなれない。
だから、比べる相手を「昨日の自分」に変えました。
誰かと比べて、苦しくなったことはありますか？</t>
  </si>
  <si>
    <r>
      <rPr>
        <sz val="10"/>
        <rFont val="WenQuanYi Zen Hei"/>
        <family val="2"/>
      </rPr>
      <t xml:space="preserve">昨日の自分と比べると、ちゃんと進んでいることに気づけます。
小さい「ゃ」が打てなかった僕が、
今は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と一緒に毎日投稿を書いている。
それだけで、十分な前進です。
人と比べて止まってしまう人のために、
「自分の物差し」の作り方をプロフィールの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に書きました。</t>
    </r>
  </si>
  <si>
    <t xml:space="preserve">誰かと比べて、苦しくなったことはありますか？</t>
  </si>
  <si>
    <t xml:space="preserve">共感・返信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</si>
  <si>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週目：信頼（実用・保存）</t>
    </r>
  </si>
  <si>
    <t xml:space="preserve">投稿に反応がつかない・フォロワーが増えない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</si>
  <si>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代の投稿が読まれない理由は「丁寧すぎるあいさつ」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</si>
  <si>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（常識の再定義）</t>
    </r>
  </si>
  <si>
    <r>
      <rPr>
        <sz val="10"/>
        <rFont val="WenQuanYi Zen Hei"/>
        <family val="2"/>
      </rPr>
      <t xml:space="preserve">投稿が伸びないのは、中身のせいではないことが多い。
最初の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行で、スクロールされているだけです。</t>
    </r>
  </si>
  <si>
    <r>
      <rPr>
        <sz val="10"/>
        <rFont val="WenQuanYi Zen Hei"/>
        <family val="2"/>
      </rPr>
      <t xml:space="preserve">いいね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の投稿にも、
ちゃんと「直す場所」があります。</t>
    </r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</si>
  <si>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代の投稿が読まれない一番の理由は、
「丁寧すぎるあいさつ」です。</t>
    </r>
  </si>
  <si>
    <r>
      <rPr>
        <sz val="10"/>
        <rFont val="WenQuanYi Zen Hei"/>
        <family val="2"/>
      </rPr>
      <t xml:space="preserve">「こんにちは。今日は〇〇についてお話しします」
丁寧で、まじめで、きちんとしている。
でも、</t>
    </r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ではここでスクロールされてしまいます。
読む人が知りたいのは、
「自分に関係あるかどうか」だけだからです。
最初の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行は、あいさつではなく
「読む理由」を書く場所です。</t>
    </r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</si>
  <si>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行目を変える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つの方法。
①数字を入れる（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社・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年・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万円）
②自分の失敗から始める
③「〜ではありません」と常識をひっくり返す
④読者への問いかけにする
⑤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行目のあとに、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行空ける
この投稿の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行目も、この型で書いています。
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代が使える冒頭の型は、プロフィールの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に全部まとめました。</t>
    </r>
  </si>
  <si>
    <r>
      <rPr>
        <sz val="10"/>
        <rFont val="WenQuanYi Zen Hei"/>
        <family val="2"/>
      </rPr>
      <t xml:space="preserve">あなたの投稿の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行目、コメントで見せてください</t>
    </r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</si>
  <si>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の作り方が分からない・自分に売るものがない</t>
    </r>
  </si>
  <si>
    <r>
      <rPr>
        <sz val="10"/>
        <rFont val="WenQuanYi Zen Hei"/>
        <family val="2"/>
      </rPr>
      <t xml:space="preserve">失敗談にも値段がつく（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紹介回）</t>
    </r>
  </si>
  <si>
    <r>
      <rPr>
        <sz val="10"/>
        <rFont val="Meiryo"/>
        <family val="0"/>
        <charset val="1"/>
      </rPr>
      <t xml:space="preserve">aigogo1701</t>
    </r>
    <r>
      <rPr>
        <sz val="10"/>
        <rFont val="WenQuanYi Zen Hei"/>
        <family val="2"/>
      </rPr>
      <t xml:space="preserve">（弱み→強み）</t>
    </r>
  </si>
  <si>
    <r>
      <rPr>
        <sz val="10"/>
        <rFont val="WenQuanYi Zen Hei"/>
        <family val="2"/>
      </rPr>
      <t xml:space="preserve">有料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は、成功者だけのものではありません。</t>
    </r>
  </si>
  <si>
    <t xml:space="preserve">「遠回りした人の地図」にも、
ちゃんと値段がつきます。</t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</si>
  <si>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万円分の失敗を、
</t>
    </r>
    <r>
      <rPr>
        <sz val="10"/>
        <rFont val="Meiryo"/>
        <family val="0"/>
        <charset val="1"/>
      </rPr>
      <t xml:space="preserve">980</t>
    </r>
    <r>
      <rPr>
        <sz val="10"/>
        <rFont val="WenQuanYi Zen Hei"/>
        <family val="2"/>
      </rPr>
      <t xml:space="preserve">円の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にまとめました。</t>
    </r>
  </si>
  <si>
    <r>
      <rPr>
        <sz val="10"/>
        <rFont val="WenQuanYi Zen Hei"/>
        <family val="2"/>
      </rPr>
      <t xml:space="preserve">成功した人のノウハウは、すでに世の中にあふれています。
でも、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代の副業迷子が本当に知りたいのは
「どこで失敗するのか」
「何にお金を使わなくていいのか」
ではないでしょうか。
それを一番知っているのは、
実際に遠回りした人です。
あなたの失敗も、誰かの近道になります。</t>
    </r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</si>
  <si>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を始める最初の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ステップ。
①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に無料登録する
②自分の失敗を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つ書き出す
③それぞれに「次はこうする」を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行添える
これだけで、目次の形ができます。
僕が作った「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代のための副業迷子脱出ロードマップ」は
プロフィールのリンクから見られます。
冒頭は無料で読めます。</t>
    </r>
  </si>
  <si>
    <r>
      <rPr>
        <sz val="10"/>
        <rFont val="WenQuanYi Zen Hei"/>
        <family val="2"/>
      </rPr>
      <t xml:space="preserve">あなたの失敗談、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つだけ教えてください</t>
    </r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</si>
  <si>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クリック</t>
    </r>
  </si>
  <si>
    <t xml:space="preserve">派遣契約が終わったらどうしよう／体力仕事をいつまで続けられるか</t>
  </si>
  <si>
    <r>
      <rPr>
        <sz val="10"/>
        <rFont val="WenQuanYi Zen Hei"/>
        <family val="2"/>
      </rPr>
      <t xml:space="preserve">契約は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月末まで。その先は業績しだい</t>
    </r>
  </si>
  <si>
    <r>
      <rPr>
        <sz val="10"/>
        <rFont val="Meiryo"/>
        <family val="0"/>
        <charset val="1"/>
      </rPr>
      <t xml:space="preserve">yuko_insta_t</t>
    </r>
    <r>
      <rPr>
        <sz val="10"/>
        <rFont val="WenQuanYi Zen Hei"/>
        <family val="2"/>
      </rPr>
      <t xml:space="preserve">（生活が見える具体描写）</t>
    </r>
  </si>
  <si>
    <r>
      <rPr>
        <sz val="10"/>
        <rFont val="WenQuanYi Zen Hei"/>
        <family val="2"/>
      </rPr>
      <t xml:space="preserve">契約は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月末まで。
その先は、会社の業績しだいです。</t>
    </r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</si>
  <si>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代派遣にとって、本業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本は「安定」ではありません。
「片足立ち」です。</t>
    </r>
  </si>
  <si>
    <t xml:space="preserve">真夏でも、目だけ出して働いています。</t>
  </si>
  <si>
    <r>
      <rPr>
        <sz val="10"/>
        <rFont val="WenQuanYi Zen Hei"/>
        <family val="2"/>
      </rPr>
      <t xml:space="preserve">化粧品工場で、マスクに帽子、長袖。
髪の毛も腕も出せない服装で、
夏でも重い荷物を運んでいます。
職場の人はいい人ばかり。
それでも、業績が悪くなれば契約は終わる。
「来年の夏も、ここにいるのかな」
そう思いながら、帰り道で副業のことを考えます。
会社にしがみつくことが、安定だと思っていました。
でも本当の安定は「収入の足が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本あること」でした。</t>
    </r>
  </si>
  <si>
    <r>
      <rPr>
        <sz val="10"/>
        <rFont val="WenQuanYi Zen Hei"/>
        <family val="2"/>
      </rPr>
      <t xml:space="preserve">派遣の僕が、今決めていること。
①月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万円でいいから、会社以外の収入を作る
②体を使わない稼ぎ方を、今から育てる
③半年後の自分に、言い訳を残さない
契約更新に怯える毎日から、
「何があっても大丈夫」と思える毎日へ。
同じ不安を抱える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代へ。
僕の挑戦は、このアカウントとプロフィールの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で全部公開しています。</t>
    </r>
  </si>
  <si>
    <t xml:space="preserve">今の仕事、あと何年続けられそうですか？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</si>
  <si>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は代筆ではなく清書係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</si>
  <si>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（原因の再定義）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</si>
  <si>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で書いた文章が「誰が書いても同じ」になるのは、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のせいではありません。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</si>
  <si>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に丸投げした投稿ほど、
人の心には届きにくい。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</si>
  <si>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に書かせる前に、
「自分の失敗」を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つだけ渡してください。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</si>
  <si>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に「副業の投稿を書いて」と頼む。
それらしい文章が一瞬でできる。
でも、読み返すと、なんだか他人ごと。
自分の言葉じゃない気がして、投稿ボタンが押せない。
理由は簡単です。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は、あなたの人生を知らないから。
材料を渡していないのに、
「あなたらしい料理」は作れません。</t>
    </r>
  </si>
  <si>
    <r>
      <rPr>
        <sz val="10"/>
        <rFont val="WenQuanYi Zen Hei"/>
        <family val="2"/>
      </rPr>
      <t xml:space="preserve">自分らしい文章にする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つのコツ。
①体験を先に話す（いつ・どこで・何があったか）
②口ぐせを伝える（「〜なんですよね」など）
③できた文章を声に出して読み、言わない言葉を消す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は「代筆」ではなく「清書係」。
中身は、あなたの体験です。
僕が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に渡している指示文は、プロフィールの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にのせています。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</si>
  <si>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で文章を書いたこと、ありますか？</t>
    </r>
  </si>
  <si>
    <t xml:space="preserve">どの副業が自分に合うか分からない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</si>
  <si>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代が今から選ぶと苦労しやすい副業（全部自腹で試した）</t>
    </r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</si>
  <si>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NG</t>
    </r>
    <r>
      <rPr>
        <sz val="10"/>
        <rFont val="WenQuanYi Zen Hei"/>
        <family val="2"/>
      </rPr>
      <t xml:space="preserve">ジャンル列挙→答えは</t>
    </r>
    <r>
      <rPr>
        <sz val="10"/>
        <rFont val="Meiryo"/>
        <family val="0"/>
        <charset val="1"/>
      </rPr>
      <t xml:space="preserve">2/2</t>
    </r>
    <r>
      <rPr>
        <sz val="10"/>
        <rFont val="WenQuanYi Zen Hei"/>
        <family val="2"/>
      </rPr>
      <t xml:space="preserve">）※最も再現性が高い型</t>
    </r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</si>
  <si>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代が今から選ぶと、苦労しやすい副業。
全部、僕が自腹で試しました。</t>
    </r>
  </si>
  <si>
    <t xml:space="preserve">副業で大事なのは、頑張る量より
「頑張る場所」です。</t>
  </si>
  <si>
    <r>
      <rPr>
        <sz val="10"/>
        <rFont val="WenQuanYi Zen Hei"/>
        <family val="2"/>
      </rPr>
      <t xml:space="preserve">「稼げる副業ランキング」の上位ほど、
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代初心者には厳しいことがあります。</t>
    </r>
  </si>
  <si>
    <r>
      <rPr>
        <sz val="10"/>
        <rFont val="WenQuanYi Zen Hei"/>
        <family val="2"/>
      </rPr>
      <t xml:space="preserve">・英語が必要な輸出（英語で挫折）
・ずっと張り付く転売（仕入れ競争で負け）
・毎日長文のブログ（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のない時代に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年）
・初期費用の大きい独立（生活できず廃業）
どれも、稼いでいる人はいます。
でも、僕の「時間・苦手・体力」には合いませんでした。
では、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苦手な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代の僕が
今度こそ続けられているのは何か。</t>
    </r>
  </si>
  <si>
    <r>
      <rPr>
        <sz val="10"/>
        <rFont val="WenQuanYi Zen Hei"/>
        <family val="2"/>
      </rPr>
      <t xml:space="preserve">答えは「自分の体験を、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と一緒に発信すること」です。
理由は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つ。
・仕入れも在庫もいらない
・英語も専門知識もいらない
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年分の失敗が、そのまま材料になる
副業で失敗しないコツは、知名度より
「自分の何で戦うか」を決めること。
自分に合う副業の選び方は、プロフィールの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にまとめています。</t>
    </r>
  </si>
  <si>
    <t xml:space="preserve">あなたが苦労した副業はどれですか？</t>
  </si>
  <si>
    <t xml:space="preserve">拡散（再投稿）・ツリー遷移</t>
  </si>
  <si>
    <t xml:space="preserve">過去の経験が活かせない・自分には取り柄がない</t>
  </si>
  <si>
    <t xml:space="preserve">職を転々とした人生は、副業の財産</t>
  </si>
  <si>
    <r>
      <rPr>
        <sz val="10"/>
        <rFont val="Meiryo"/>
        <family val="0"/>
        <charset val="1"/>
      </rPr>
      <t xml:space="preserve">aigogo1701</t>
    </r>
    <r>
      <rPr>
        <sz val="10"/>
        <rFont val="WenQuanYi Zen Hei"/>
        <family val="2"/>
      </rPr>
      <t xml:space="preserve">（年齢の弱み→経験という強み）</t>
    </r>
  </si>
  <si>
    <t xml:space="preserve">職を転々としてきた人生。
実はそれが、副業でいちばんの財産でした。</t>
  </si>
  <si>
    <r>
      <rPr>
        <sz val="10"/>
        <rFont val="WenQuanYi Zen Hei"/>
        <family val="2"/>
      </rPr>
      <t xml:space="preserve">「自分には何の取り柄もない」と思う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代へ。
転職の回数は、才能です。</t>
    </r>
  </si>
  <si>
    <r>
      <rPr>
        <sz val="10"/>
        <rFont val="WenQuanYi Zen Hei"/>
        <family val="2"/>
      </rPr>
      <t xml:space="preserve">新人部門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位の営業マンでも、
ネット副業では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年以上、結果が出ませんでした。</t>
    </r>
  </si>
  <si>
    <r>
      <rPr>
        <sz val="10"/>
        <rFont val="WenQuanYi Zen Hei"/>
        <family val="2"/>
      </rPr>
      <t xml:space="preserve">ガソリンスタンド、製造、営業、
清掃業の自営、介護、ビル管理、フォークリフト。
職業訓練にも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回通いました。
「一つの仕事を続けられなかった」
ずっと、そう思っていました。
でも見方を変えると、
いろんな職場の「困りごと」を知っている、ということ。
それは、同じ立場の人に届く言葉を
たくさん持っているということです。</t>
    </r>
  </si>
  <si>
    <r>
      <rPr>
        <sz val="10"/>
        <rFont val="WenQuanYi Zen Hei"/>
        <family val="2"/>
      </rPr>
      <t xml:space="preserve">自分の経験を「強み」に変える方法。
①これまでの仕事を全部書き出す
②それぞれで「大変だったこと」を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つ書く
③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に「この経歴から、人の役に立てることを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つ」と聞く
取り柄がないんじゃない。
まだ、言葉にしていないだけです。
経験の棚卸しシートは、プロフィールの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に入れています。</t>
    </r>
  </si>
  <si>
    <t xml:space="preserve">今までで一番長く続けた仕事は何ですか？</t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</si>
  <si>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万円使った僕が、副業を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日目からやり直すなら</t>
    </r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</si>
  <si>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（断言＋リスト）</t>
    </r>
  </si>
  <si>
    <r>
      <rPr>
        <sz val="10"/>
        <rFont val="WenQuanYi Zen Hei"/>
        <family val="2"/>
      </rPr>
      <t xml:space="preserve">副業初心者が最初の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日でやるべきことは、
「稼ぐこと」ではありません。</t>
    </r>
  </si>
  <si>
    <r>
      <rPr>
        <sz val="10"/>
        <rFont val="WenQuanYi Zen Hei"/>
        <family val="2"/>
      </rPr>
      <t xml:space="preserve">副業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日目に、お金は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円もいりません。</t>
    </r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</si>
  <si>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万円使った僕が、
もし副業を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日目からやり直すなら。</t>
    </r>
  </si>
  <si>
    <r>
      <rPr>
        <sz val="10"/>
        <rFont val="WenQuanYi Zen Hei"/>
        <family val="2"/>
      </rPr>
      <t xml:space="preserve">最初の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日は、こうします。
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日目：使える時間を測る
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日目：使えるお金の上限を決める
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日目：苦手なことを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つ書く
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日目：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に向いている副業を聞く
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日目：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つに絞る
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日目：</t>
    </r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に自己紹介を投稿
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日目：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週間を振り返る
この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日間、使うお金は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円です。</t>
    </r>
  </si>
  <si>
    <r>
      <rPr>
        <sz val="10"/>
        <rFont val="WenQuanYi Zen Hei"/>
        <family val="2"/>
      </rPr>
      <t xml:space="preserve">大事なのは、お金を払う前に「自分を知る時間」を取ること。
僕はここを飛ばして、いきなり講座に申し込んでいました。
だから、何を学んでも自分に合わなかった。
この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日間を終えるだけで、
「次に何をするか」が自分で決められるようになります。
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日目〜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日目の続きは、プロフィールの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に書いています。</t>
    </r>
  </si>
  <si>
    <r>
      <rPr>
        <sz val="10"/>
        <rFont val="WenQuanYi Zen Hei"/>
        <family val="2"/>
      </rPr>
      <t xml:space="preserve">今日から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日目、一緒にやる人いますか？</t>
    </r>
  </si>
  <si>
    <r>
      <rPr>
        <sz val="10"/>
        <rFont val="WenQuanYi Zen Hei"/>
        <family val="2"/>
      </rPr>
      <t xml:space="preserve">保存・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クリック</t>
    </r>
  </si>
  <si>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週目：販売（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導線強化）</t>
    </r>
  </si>
  <si>
    <t xml:space="preserve">無料相談・セミナーで勧誘されそうで不安</t>
  </si>
  <si>
    <t xml:space="preserve">無料相談は「面接」だと思って行く</t>
  </si>
  <si>
    <r>
      <rPr>
        <sz val="10"/>
        <rFont val="Meiryo"/>
        <family val="0"/>
        <charset val="1"/>
      </rPr>
      <t xml:space="preserve">sorakapu2710</t>
    </r>
    <r>
      <rPr>
        <sz val="10"/>
        <rFont val="WenQuanYi Zen Hei"/>
        <family val="2"/>
      </rPr>
      <t xml:space="preserve">（質問で整理）</t>
    </r>
  </si>
  <si>
    <t xml:space="preserve">「無料相談」に行くなら、
相談ではなく「面接」だと思って行ってください。</t>
  </si>
  <si>
    <t xml:space="preserve">無料相談で聞くべきなのは、
「いくら稼げますか？」ではありません。</t>
  </si>
  <si>
    <t xml:space="preserve">つい最近も、サポートが合わず、
申し込んだ案件を解約しました。</t>
  </si>
  <si>
    <t xml:space="preserve">「あなたなら、きっと大丈夫ですよ」
やさしく話を聞いてもらえると、
つい心を許してしまう。
気づけば、その場で申し込む流れになっている。
無料相談そのものが悪いわけではありません。
ただ、相手は「売る側」、こちらは「選ぶ側」。
この立場を忘れると、判断がにぶります。</t>
  </si>
  <si>
    <r>
      <rPr>
        <sz val="10"/>
        <rFont val="WenQuanYi Zen Hei"/>
        <family val="2"/>
      </rPr>
      <t xml:space="preserve">無料相談で必ず聞いてほしい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つの質問。
①私と同じ条件（年齢・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・時間）で成果が出た人はいますか？
②サポートは何回、何ヶ月までですか？
③追加でかかる費用はありますか？
④解約や返金の条件は？
⑤一度持ち帰って、家族と相談してもいいですか？
⑤を嫌がる相手なら、その場は見送りましょう。
契約前の全チェックリストは、プロフィールの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にあります。</t>
    </r>
  </si>
  <si>
    <t xml:space="preserve">無料相談で困ったこと、ありますか？</t>
  </si>
  <si>
    <t xml:space="preserve">保存・拡散</t>
  </si>
  <si>
    <t xml:space="preserve">老後を仕事だけで終えたくない／定年後のお金が不安</t>
  </si>
  <si>
    <t xml:space="preserve">副業で叶えたい夢は、妻との旅行</t>
  </si>
  <si>
    <r>
      <rPr>
        <sz val="10"/>
        <rFont val="Meiryo"/>
        <family val="0"/>
        <charset val="1"/>
      </rPr>
      <t xml:space="preserve">hikari.mama.09</t>
    </r>
    <r>
      <rPr>
        <sz val="10"/>
        <rFont val="WenQuanYi Zen Hei"/>
        <family val="2"/>
      </rPr>
      <t xml:space="preserve">（短い本音）＋</t>
    </r>
    <r>
      <rPr>
        <sz val="10"/>
        <rFont val="Meiryo"/>
        <family val="0"/>
        <charset val="1"/>
      </rPr>
      <t xml:space="preserve">sorakapu2710</t>
    </r>
    <r>
      <rPr>
        <sz val="10"/>
        <rFont val="WenQuanYi Zen Hei"/>
        <family val="2"/>
      </rPr>
      <t xml:space="preserve">（質問）</t>
    </r>
  </si>
  <si>
    <t xml:space="preserve">副業で叶えたい夢、正直に言います。
妻と旅行に行きたい。それだけです。</t>
  </si>
  <si>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万円増えたら、何をしますか？</t>
    </r>
  </si>
  <si>
    <t xml:space="preserve">定年まで働いて、そのあとも働いて。
それで人生、終わっていいんでしょうか。</t>
  </si>
  <si>
    <r>
      <rPr>
        <sz val="10"/>
        <rFont val="WenQuanYi Zen Hei"/>
        <family val="2"/>
      </rPr>
      <t xml:space="preserve">家のローンはありません。
でも、修繕費、保険、子どもの学費の残り。
「旅行は、また今度」が、ずっと続いています。
大金持ちになりたいわけじゃない。
月にあと数万円あれば、妻と温泉に行ける。
その「数万円」のために、
僕はもう一度、挑戦しています。
あなたは、月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万円増えたら何をしたいですか？</t>
    </r>
  </si>
  <si>
    <r>
      <rPr>
        <sz val="10"/>
        <rFont val="WenQuanYi Zen Hei"/>
        <family val="2"/>
      </rPr>
      <t xml:space="preserve">コメントで教えてもらえたら嬉しいです。
書くだけで、目標がはっきりしてきます。
「月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万円」を目指す最初の一歩は、
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にまとめました。
同じように、残りの人生を楽しみたい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代の方。
フォローして、一緒に叶えましょう。</t>
    </r>
  </si>
  <si>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万円増えたら、何をしたいですか？</t>
    </r>
  </si>
  <si>
    <t xml:space="preserve">返信数・フォロー</t>
  </si>
  <si>
    <t xml:space="preserve">副業候補を整理できない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</si>
  <si>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に「私に向いていない副業」を聞く</t>
    </r>
  </si>
  <si>
    <r>
      <rPr>
        <sz val="10"/>
        <rFont val="Meiryo"/>
        <family val="0"/>
        <charset val="1"/>
      </rPr>
      <t xml:space="preserve">jin_kasegupro</t>
    </r>
    <r>
      <rPr>
        <sz val="10"/>
        <rFont val="WenQuanYi Zen Hei"/>
        <family val="2"/>
      </rPr>
      <t xml:space="preserve">（問い→答えは</t>
    </r>
    <r>
      <rPr>
        <sz val="10"/>
        <rFont val="Meiryo"/>
        <family val="0"/>
        <charset val="1"/>
      </rPr>
      <t xml:space="preserve">2/2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</si>
  <si>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副業選びで迷ったら、</t>
    </r>
    <r>
      <rPr>
        <sz val="10"/>
        <rFont val="Meiryo"/>
        <family val="0"/>
        <charset val="1"/>
      </rPr>
      <t xml:space="preserve">ChatGPT</t>
    </r>
    <r>
      <rPr>
        <sz val="10"/>
        <rFont val="WenQuanYi Zen Hei"/>
        <family val="2"/>
      </rPr>
      <t xml:space="preserve">に
「私に向いていない副業」を聞いてください。</t>
    </r>
  </si>
  <si>
    <t xml:space="preserve">「おすすめの副業」より
「やめた方がいい副業」を知る方が、ずっと早い。</t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</si>
  <si>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万円使う前に、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に聞いておけばよかった質問があります。</t>
    </r>
  </si>
  <si>
    <t xml:space="preserve">それは、
「私に向いていない副業はどれですか？」
という質問です。
「おすすめ」を聞くと、選択肢が増えて迷う。
「向いていない」を聞くと、選択肢が減って決められる。
迷子の人に必要なのは、地図を広げることではなく
行かなくていい道を消すことです。</t>
  </si>
  <si>
    <r>
      <rPr>
        <sz val="10"/>
        <rFont val="WenQuanYi Zen Hei"/>
        <family val="2"/>
      </rPr>
      <t xml:space="preserve">そのまま使える質問文です。
「私は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代、パソコンは苦手、英語も苦手です。
平日は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分、予算は月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千円。
次の副業のうち、私に向いていないものと理由を教えてください。
ブログ、物販、輸出、動画編集、</t>
    </r>
    <r>
      <rPr>
        <sz val="10"/>
        <rFont val="Meiryo"/>
        <family val="0"/>
        <charset val="1"/>
      </rPr>
      <t xml:space="preserve">SNS</t>
    </r>
    <r>
      <rPr>
        <sz val="10"/>
        <rFont val="WenQuanYi Zen Hei"/>
        <family val="2"/>
      </rPr>
      <t xml:space="preserve">発信、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販売」
消した後に残ったものが、あなたの候補です。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への質問テンプレ集は、プロフィールの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に入っています。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</si>
  <si>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に聞いた結果、何が残りましたか？</t>
    </r>
  </si>
  <si>
    <t xml:space="preserve">毎日投稿が続かない</t>
  </si>
  <si>
    <t xml:space="preserve">続かないのは根性ではなく「記録」がないから</t>
  </si>
  <si>
    <r>
      <rPr>
        <sz val="10"/>
        <rFont val="Meiryo"/>
        <family val="0"/>
        <charset val="1"/>
      </rPr>
      <t xml:space="preserve">mone_gooday</t>
    </r>
    <r>
      <rPr>
        <sz val="10"/>
        <rFont val="WenQuanYi Zen Hei"/>
        <family val="2"/>
      </rPr>
      <t xml:space="preserve">（権威一行→具体→結論）</t>
    </r>
  </si>
  <si>
    <t xml:space="preserve">毎日投稿が続かないのは、根性がないからではありません。
「記録」していないからです。</t>
  </si>
  <si>
    <t xml:space="preserve">続ける力は、才能ではなく
「あとで見返せる仕組み」です。</t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</si>
  <si>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年以上続いた日記が教えてくれた、
三日坊主の正体。</t>
    </r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</si>
  <si>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日投稿して、反応がない。
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日目、「やっても意味ないか」とスマホを置く。
でも、本当は意味がないんじゃない。
「変化に気づけていない」だけなんです。
僕は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年以上、日記を書いてきました。
見返して「あの時こうだったのか」と助けられたことが何度もあります。
記録があると、小さな前進が見えるようになります。</t>
    </r>
  </si>
  <si>
    <r>
      <rPr>
        <sz val="10"/>
        <rFont val="WenQuanYi Zen Hei"/>
        <family val="2"/>
      </rPr>
      <t xml:space="preserve">投稿を続けるための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行記録。
①今日の投稿テーマ
②閲覧数・いいね・コメント数
③気づいたこと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
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週間後に見返すと、
「この話は反応がいい」が見えてきます。
続かない人は、意志が弱いのではなく、
自分の成長が見えていないだけ。
記録用シートは、プロフィールの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に付けています。</t>
    </r>
  </si>
  <si>
    <t xml:space="preserve">今、毎日続けていることはありますか？</t>
  </si>
  <si>
    <t xml:space="preserve">何を信じればいいか分からない／また高額教材を買ってしまいそう</t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</si>
  <si>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万円使っても「詐欺だった」とは思っていない理由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</si>
  <si>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（逆張りで救う）</t>
    </r>
  </si>
  <si>
    <t xml:space="preserve">「誰でも簡単に稼げる」。
似た言葉に、何度もお金を払ってきました。</t>
  </si>
  <si>
    <t xml:space="preserve">副業で失敗しないために必要なのは、
「疑う力」ではありません。</t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</si>
  <si>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万円使った僕でも、
「あれは詐欺だった」とは思っていません。</t>
    </r>
  </si>
  <si>
    <t xml:space="preserve">同じ講座で、成果を出している人は実際にいました。
だから、人のせいにはできない。
ただ、ひとつだけ見落としていました。
成果を出した人と僕とでは、
「条件」がまったく違ったんです。
時間、得意なこと、使えるお金、パソコンの腕。
成功例を見るときは、
「何を」より「誰が」を見なきゃいけなかった。</t>
  </si>
  <si>
    <r>
      <rPr>
        <sz val="10"/>
        <rFont val="WenQuanYi Zen Hei"/>
        <family val="2"/>
      </rPr>
      <t xml:space="preserve">情報を見極める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つの質問。
①その人は、自分と似た条件から始めた？
②成果が出るまで、どれくらいかかった？
③うまくいかなかった人の話も出している？
疑ってばかりだと、何も始められません。
大事なのは、自分の条件に合う人を探すことです。
「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苦手・時間なし・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代」の目線でまとめた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は、プロフィールにあります。</t>
    </r>
  </si>
  <si>
    <t xml:space="preserve">副業情報を見て「本当かな？」と思ったことは？</t>
  </si>
  <si>
    <r>
      <rPr>
        <sz val="10"/>
        <rFont val="WenQuanYi Zen Hei"/>
        <family val="2"/>
      </rPr>
      <t xml:space="preserve">信頼・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クリック</t>
    </r>
  </si>
  <si>
    <t xml:space="preserve">コピー・貼り付けなど基本操作が不安</t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</si>
  <si>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副業の最初の壁は「コピペ」</t>
    </r>
  </si>
  <si>
    <r>
      <rPr>
        <sz val="10"/>
        <rFont val="Meiryo"/>
        <family val="0"/>
        <charset val="1"/>
      </rPr>
      <t xml:space="preserve">tomoyo_pc_web</t>
    </r>
    <r>
      <rPr>
        <sz val="10"/>
        <rFont val="WenQuanYi Zen Hei"/>
        <family val="2"/>
      </rPr>
      <t xml:space="preserve">（教わっていないだけ）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</si>
  <si>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副業で最初につまずくのは、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ではありません。
「コピーと貼り付け」です。</t>
    </r>
  </si>
  <si>
    <t xml:space="preserve">「コピペ」が分からないのは、
まったく恥ずかしいことではありません。</t>
  </si>
  <si>
    <r>
      <rPr>
        <sz val="10"/>
        <rFont val="WenQuanYi Zen Hei"/>
        <family val="2"/>
      </rPr>
      <t xml:space="preserve">この操作を知らないだけで、
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の便利さの半分を捨てています。</t>
    </r>
  </si>
  <si>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が作った文章を、</t>
    </r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に移したい。
でも、どうやって移すのか分からない。
結局、画面を見ながら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文字ずつ打ち直す。
実は、これをやっている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代は少なくないと思います。
操作が苦手なんじゃありません。
誰も、最初の一回を見せてくれなかっただけ。
（保存版の手順はツリーへ👇）</t>
    </r>
  </si>
  <si>
    <r>
      <rPr>
        <sz val="10"/>
        <rFont val="WenQuanYi Zen Hei"/>
        <family val="2"/>
      </rPr>
      <t xml:space="preserve">保存して、何度でも見返してください。
【スマホ】
①文字を長押し
②範囲を広げて「コピー」
③貼りたい場所を長押しして「ペースト（貼り付け）」
【パソコン】
①なぞって選ぶ
②</t>
    </r>
    <r>
      <rPr>
        <sz val="10"/>
        <rFont val="Meiryo"/>
        <family val="0"/>
        <charset val="1"/>
      </rPr>
      <t xml:space="preserve">Ctrl</t>
    </r>
    <r>
      <rPr>
        <sz val="10"/>
        <rFont val="WenQuanYi Zen Hei"/>
        <family val="2"/>
      </rPr>
      <t xml:space="preserve">＋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Mac</t>
    </r>
    <r>
      <rPr>
        <sz val="10"/>
        <rFont val="WenQuanYi Zen Hei"/>
        <family val="2"/>
      </rPr>
      <t xml:space="preserve">は⌘＋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）
③貼りたい場所で </t>
    </r>
    <r>
      <rPr>
        <sz val="10"/>
        <rFont val="Meiryo"/>
        <family val="0"/>
        <charset val="1"/>
      </rPr>
      <t xml:space="preserve">Ctrl</t>
    </r>
    <r>
      <rPr>
        <sz val="10"/>
        <rFont val="WenQuanYi Zen Hei"/>
        <family val="2"/>
      </rPr>
      <t xml:space="preserve">＋</t>
    </r>
    <r>
      <rPr>
        <sz val="10"/>
        <rFont val="Meiryo"/>
        <family val="0"/>
        <charset val="1"/>
      </rPr>
      <t xml:space="preserve">V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Mac</t>
    </r>
    <r>
      <rPr>
        <sz val="10"/>
        <rFont val="WenQuanYi Zen Hei"/>
        <family val="2"/>
      </rPr>
      <t xml:space="preserve">は⌘＋</t>
    </r>
    <r>
      <rPr>
        <sz val="10"/>
        <rFont val="Meiryo"/>
        <family val="0"/>
        <charset val="1"/>
      </rPr>
      <t xml:space="preserve">V</t>
    </r>
    <r>
      <rPr>
        <sz val="10"/>
        <rFont val="WenQuanYi Zen Hei"/>
        <family val="2"/>
      </rPr>
      <t xml:space="preserve">）
これだけで、</t>
    </r>
    <r>
      <rPr>
        <sz val="10"/>
        <rFont val="Meiryo"/>
        <family val="0"/>
        <charset val="1"/>
      </rPr>
      <t xml:space="preserve">AI</t>
    </r>
    <r>
      <rPr>
        <sz val="10"/>
        <rFont val="WenQuanYi Zen Hei"/>
        <family val="2"/>
      </rPr>
      <t xml:space="preserve">は一気に「使える道具」になります。
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苦手さん向けの基本操作は、プロフィールの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にまとめています。</t>
    </r>
  </si>
  <si>
    <t xml:space="preserve">次に知りたい操作を教えてください</t>
  </si>
  <si>
    <t xml:space="preserve">保存（実用）</t>
  </si>
  <si>
    <t xml:space="preserve">副業したいけど一歩を踏み出せない</t>
  </si>
  <si>
    <t xml:space="preserve">ラインを割るまでは、試合は終わらない</t>
  </si>
  <si>
    <r>
      <rPr>
        <sz val="10"/>
        <rFont val="Meiryo"/>
        <family val="0"/>
        <charset val="1"/>
      </rPr>
      <t xml:space="preserve">320_reishi</t>
    </r>
    <r>
      <rPr>
        <sz val="10"/>
        <rFont val="WenQuanYi Zen Hei"/>
        <family val="2"/>
      </rPr>
      <t xml:space="preserve">（一言の引用→余韻「、、、」→</t>
    </r>
    <r>
      <rPr>
        <sz val="10"/>
        <rFont val="Meiryo"/>
        <family val="0"/>
        <charset val="1"/>
      </rPr>
      <t xml:space="preserve">2/2</t>
    </r>
    <r>
      <rPr>
        <sz val="10"/>
        <rFont val="WenQuanYi Zen Hei"/>
        <family val="2"/>
      </rPr>
      <t xml:space="preserve">で意味づけ）</t>
    </r>
  </si>
  <si>
    <t xml:space="preserve">「言い訳をするなら、別の方法を考えろ」
誰かの言葉ではありません。
何度も失敗した自分に、言い聞かせてきた言葉です。</t>
  </si>
  <si>
    <r>
      <rPr>
        <sz val="10"/>
        <rFont val="WenQuanYi Zen Hei"/>
        <family val="2"/>
      </rPr>
      <t xml:space="preserve">ボールがラインを割るまでは、追いかける。
サッカー少年だった僕が、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代でも守っていることです。</t>
    </r>
  </si>
  <si>
    <t xml:space="preserve">「もう歳だから」は、
言い訳の中でいちばん便利な言葉です。</t>
  </si>
  <si>
    <r>
      <rPr>
        <sz val="10"/>
        <rFont val="WenQuanYi Zen Hei"/>
        <family val="2"/>
      </rPr>
      <t xml:space="preserve">小学生の頃、左ウイングでした。
足だけは速くて、外から一気にゴールを狙うのが好きだった。
ボールがラインの外に出るまでは、試合は終わらない。
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代になって、副業で何度も転びました。
それでも、まだラインは割っていない、、、</t>
    </r>
  </si>
  <si>
    <r>
      <rPr>
        <sz val="10"/>
        <rFont val="WenQuanYi Zen Hei"/>
        <family val="2"/>
      </rPr>
      <t xml:space="preserve">体が動かない、時間がない、年だから。
言い訳はいくらでも作れます。
でも、言い訳を考える時間で
「別のやり方」を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つ考えられる。
あなたの試合も、まだ終わっていません。
一歩目の踏み出し方は、プロフィールの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に書きました。
同じピッチに立つ仲間として、フォローしてもらえたら嬉しいです。</t>
    </r>
  </si>
  <si>
    <t xml:space="preserve">子どもの頃、夢中になっていたことは？</t>
  </si>
  <si>
    <t xml:space="preserve">拡散（共感の再投稿）</t>
  </si>
  <si>
    <t xml:space="preserve">副業迷子は、たいてい一人で迷っている</t>
  </si>
  <si>
    <r>
      <rPr>
        <sz val="10"/>
        <rFont val="Meiryo"/>
        <family val="0"/>
        <charset val="1"/>
      </rPr>
      <t xml:space="preserve">hikari.mama.09</t>
    </r>
    <r>
      <rPr>
        <sz val="10"/>
        <rFont val="WenQuanYi Zen Hei"/>
        <family val="2"/>
      </rPr>
      <t xml:space="preserve">（言いにくい不安の告白）</t>
    </r>
  </si>
  <si>
    <t xml:space="preserve">副業の悩みを、家族にも友達にも言えませんでした。</t>
  </si>
  <si>
    <t xml:space="preserve">副業でいちばんつらいのは、稼げないことより
「相談できる人がいない」ことです。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</si>
  <si>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代の副業迷子は、たいてい一人で迷っています。</t>
    </r>
  </si>
  <si>
    <r>
      <rPr>
        <sz val="10"/>
        <rFont val="WenQuanYi Zen Hei"/>
        <family val="2"/>
      </rPr>
      <t xml:space="preserve">「また副業？」と思われるのが怖くて、家族には言えない。
友達に言うと、心配されるか、笑われる。
だから、一人で夜中に調べて、
一人で申し込んで、一人で落ち込む。
僕もずっと、そうでした。
このアカウントは、そんな副業迷子が
「一人じゃない」と思える場所にしたいと思っています。
今の悩み、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つだけコメントで教えてください。</t>
    </r>
  </si>
  <si>
    <r>
      <rPr>
        <sz val="10"/>
        <rFont val="WenQuanYi Zen Hei"/>
        <family val="2"/>
      </rPr>
      <t xml:space="preserve">いただいた悩みは、今後の投稿と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で一つずつ答えていきます。
成功者ではない僕だからこそ、
同じ目線で一緒に考えられることがあります。
一人で迷う時間を、少しでも短くするために。
副業迷子脱出ロードマップは、プロフィールの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にあります。</t>
    </r>
  </si>
  <si>
    <r>
      <rPr>
        <sz val="10"/>
        <rFont val="WenQuanYi Zen Hei"/>
        <family val="2"/>
      </rPr>
      <t xml:space="preserve">今の副業の悩み、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つだけ教えてください</t>
    </r>
  </si>
  <si>
    <r>
      <rPr>
        <sz val="10"/>
        <rFont val="WenQuanYi Zen Hei"/>
        <family val="2"/>
      </rPr>
      <t xml:space="preserve">返信数（次の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日のネタ収集）</t>
    </r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</si>
  <si>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日間毎日投稿した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代のリアルな数字（実数を入れて投稿）</t>
    </r>
  </si>
  <si>
    <r>
      <rPr>
        <sz val="10"/>
        <rFont val="Meiryo"/>
        <family val="0"/>
        <charset val="1"/>
      </rPr>
      <t xml:space="preserve">yuko_insta_t</t>
    </r>
    <r>
      <rPr>
        <sz val="10"/>
        <rFont val="WenQuanYi Zen Hei"/>
        <family val="2"/>
      </rPr>
      <t xml:space="preserve">（数字＋途中成果）</t>
    </r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</si>
  <si>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代の副業迷子が、</t>
    </r>
    <r>
      <rPr>
        <sz val="10"/>
        <rFont val="Meiryo"/>
        <family val="0"/>
        <charset val="1"/>
      </rPr>
      <t xml:space="preserve">Threads</t>
    </r>
    <r>
      <rPr>
        <sz val="10"/>
        <rFont val="WenQuanYi Zen Hei"/>
        <family val="2"/>
      </rPr>
      <t xml:space="preserve">を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日間毎日投稿した結果。
数字を全部公開します。</t>
    </r>
  </si>
  <si>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万円の遠回りの「続き」は、
ここから書きます。</t>
    </r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</si>
  <si>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日前、フォロワーは【　】人でした。</t>
    </r>
  </si>
  <si>
    <r>
      <rPr>
        <sz val="10"/>
        <rFont val="WenQuanYi Zen Hei"/>
        <family val="2"/>
      </rPr>
      <t xml:space="preserve">・投稿数：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本
・フォロワー：【開始時】人 →【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日目】人
・一番読まれた投稿：【タイトル】
・</t>
    </r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の購入：【　】部
正直、うまくいかなかった日もありました。
それでも、毎日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本だけは出し続けた。
分かったのは、
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代の失敗談でも、ちゃんと誰かに届くということです。</t>
    </r>
  </si>
  <si>
    <r>
      <rPr>
        <sz val="10"/>
        <rFont val="WenQuanYi Zen Hei"/>
        <family val="2"/>
      </rPr>
      <t xml:space="preserve">コメントで「自分も同じです」と言ってくれた方、
本当にありがとうございました。
この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日で集まった悩みと、僕の</t>
    </r>
    <r>
      <rPr>
        <sz val="10"/>
        <rFont val="Meiryo"/>
        <family val="0"/>
        <charset val="1"/>
      </rPr>
      <t xml:space="preserve">800</t>
    </r>
    <r>
      <rPr>
        <sz val="10"/>
        <rFont val="WenQuanYi Zen Hei"/>
        <family val="2"/>
      </rPr>
      <t xml:space="preserve">万円分の遠回りを
「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代・</t>
    </r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代のための副業迷子脱出ロードマップ」にまとめています。
次の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日は、初収益のその先へ。
これからも全部公開します。
フォローして、続きを一緒に見届けてください。</t>
    </r>
  </si>
  <si>
    <r>
      <rPr>
        <sz val="10"/>
        <rFont val="WenQuanYi Zen Hei"/>
        <family val="2"/>
      </rPr>
      <t xml:space="preserve">この</t>
    </r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日で一番役に立った投稿はどれでしたか？</t>
    </r>
  </si>
  <si>
    <r>
      <rPr>
        <sz val="10"/>
        <rFont val="Meiryo"/>
        <family val="0"/>
        <charset val="1"/>
      </rPr>
      <t xml:space="preserve">Note</t>
    </r>
    <r>
      <rPr>
        <sz val="10"/>
        <rFont val="WenQuanYi Zen Hei"/>
        <family val="2"/>
      </rPr>
      <t xml:space="preserve">購入・フォロー</t>
    </r>
  </si>
  <si>
    <t xml:space="preserve">効果測定｜毎日の数字を記録して、勝ちパターンに寄せる</t>
  </si>
  <si>
    <r>
      <rPr>
        <i val="true"/>
        <sz val="9"/>
        <color rgb="FF595959"/>
        <rFont val="WenQuanYi Zen Hei"/>
        <family val="2"/>
      </rPr>
      <t xml:space="preserve">黄色セルに投稿の</t>
    </r>
    <r>
      <rPr>
        <i val="true"/>
        <sz val="9"/>
        <color rgb="FF595959"/>
        <rFont val="Meiryo"/>
        <family val="0"/>
        <charset val="1"/>
      </rPr>
      <t xml:space="preserve">24</t>
    </r>
    <r>
      <rPr>
        <i val="true"/>
        <sz val="9"/>
        <color rgb="FF595959"/>
        <rFont val="WenQuanYi Zen Hei"/>
        <family val="2"/>
      </rPr>
      <t xml:space="preserve">時間後の数字を入力。率・売上は自動計算。プロフィール遷移・</t>
    </r>
    <r>
      <rPr>
        <i val="true"/>
        <sz val="9"/>
        <color rgb="FF595959"/>
        <rFont val="Meiryo"/>
        <family val="0"/>
        <charset val="1"/>
      </rPr>
      <t xml:space="preserve">Note</t>
    </r>
    <r>
      <rPr>
        <i val="true"/>
        <sz val="9"/>
        <color rgb="FF595959"/>
        <rFont val="WenQuanYi Zen Hei"/>
        <family val="2"/>
      </rPr>
      <t xml:space="preserve">クリックは各アプリのインサイト／</t>
    </r>
    <r>
      <rPr>
        <i val="true"/>
        <sz val="9"/>
        <color rgb="FF595959"/>
        <rFont val="Meiryo"/>
        <family val="0"/>
        <charset val="1"/>
      </rPr>
      <t xml:space="preserve">Note</t>
    </r>
    <r>
      <rPr>
        <i val="true"/>
        <sz val="9"/>
        <color rgb="FF595959"/>
        <rFont val="WenQuanYi Zen Hei"/>
        <family val="2"/>
      </rPr>
      <t xml:space="preserve">の管理画面で確認。</t>
    </r>
  </si>
  <si>
    <r>
      <rPr>
        <b val="true"/>
        <sz val="10"/>
        <rFont val="Meiryo"/>
        <family val="0"/>
        <charset val="1"/>
      </rPr>
      <t xml:space="preserve">Note</t>
    </r>
    <r>
      <rPr>
        <b val="true"/>
        <sz val="10"/>
        <rFont val="WenQuanYi Zen Hei"/>
        <family val="2"/>
      </rPr>
      <t xml:space="preserve">価格（円）</t>
    </r>
  </si>
  <si>
    <r>
      <rPr>
        <i val="true"/>
        <sz val="9"/>
        <color rgb="FF595959"/>
        <rFont val="WenQuanYi Zen Hei"/>
        <family val="2"/>
      </rPr>
      <t xml:space="preserve">← ユーザー指定の初期価格（</t>
    </r>
    <r>
      <rPr>
        <i val="true"/>
        <sz val="9"/>
        <color rgb="FF595959"/>
        <rFont val="Meiryo"/>
        <family val="0"/>
        <charset val="1"/>
      </rPr>
      <t xml:space="preserve">980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Meiryo"/>
        <family val="0"/>
        <charset val="1"/>
      </rPr>
      <t xml:space="preserve">2,980</t>
    </r>
    <r>
      <rPr>
        <i val="true"/>
        <sz val="9"/>
        <color rgb="FF595959"/>
        <rFont val="WenQuanYi Zen Hei"/>
        <family val="2"/>
      </rPr>
      <t xml:space="preserve">円の下限）。価格を変えたらここを更新</t>
    </r>
  </si>
  <si>
    <t xml:space="preserve">採用冒頭</t>
  </si>
  <si>
    <t xml:space="preserve">閲覧数</t>
  </si>
  <si>
    <t xml:space="preserve">新規フォロー</t>
  </si>
  <si>
    <t xml:space="preserve">プロフィール閲覧</t>
  </si>
  <si>
    <r>
      <rPr>
        <b val="true"/>
        <sz val="10"/>
        <color rgb="FFFFFFFF"/>
        <rFont val="Meiryo"/>
        <family val="0"/>
        <charset val="1"/>
      </rPr>
      <t xml:space="preserve">Note</t>
    </r>
    <r>
      <rPr>
        <b val="true"/>
        <sz val="10"/>
        <color rgb="FFFFFFFF"/>
        <rFont val="WenQuanYi Zen Hei"/>
        <family val="2"/>
      </rPr>
      <t xml:space="preserve">クリック</t>
    </r>
  </si>
  <si>
    <r>
      <rPr>
        <b val="true"/>
        <sz val="10"/>
        <color rgb="FFFFFFFF"/>
        <rFont val="Meiryo"/>
        <family val="0"/>
        <charset val="1"/>
      </rPr>
      <t xml:space="preserve">Note</t>
    </r>
    <r>
      <rPr>
        <b val="true"/>
        <sz val="10"/>
        <color rgb="FFFFFFFF"/>
        <rFont val="WenQuanYi Zen Hei"/>
        <family val="2"/>
      </rPr>
      <t xml:space="preserve">購入数</t>
    </r>
  </si>
  <si>
    <t xml:space="preserve">反応率</t>
  </si>
  <si>
    <t xml:space="preserve">プロフィール遷移率</t>
  </si>
  <si>
    <r>
      <rPr>
        <b val="true"/>
        <sz val="10"/>
        <color rgb="FFFFFFFF"/>
        <rFont val="Meiryo"/>
        <family val="0"/>
        <charset val="1"/>
      </rPr>
      <t xml:space="preserve">Note</t>
    </r>
    <r>
      <rPr>
        <b val="true"/>
        <sz val="10"/>
        <color rgb="FFFFFFFF"/>
        <rFont val="WenQuanYi Zen Hei"/>
        <family val="2"/>
      </rPr>
      <t xml:space="preserve">購入率（クリック比）</t>
    </r>
  </si>
  <si>
    <t xml:space="preserve">売上（円）</t>
  </si>
  <si>
    <r>
      <rPr>
        <b val="true"/>
        <sz val="10"/>
        <color rgb="FFFFFFFF"/>
        <rFont val="WenQuanYi Zen Hei"/>
        <family val="2"/>
      </rPr>
      <t xml:space="preserve">気づき（</t>
    </r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行）</t>
    </r>
  </si>
  <si>
    <t xml:space="preserve">例</t>
  </si>
  <si>
    <t xml:space="preserve">（記入例）</t>
  </si>
  <si>
    <t xml:space="preserve">記入例：この行は集計に含まれません</t>
  </si>
  <si>
    <t xml:space="preserve">合計</t>
  </si>
  <si>
    <t xml:space="preserve">■ 型・悩み区分ごとの平均（どの型が伸びるかを判断）</t>
  </si>
  <si>
    <t xml:space="preserve">投稿数</t>
  </si>
  <si>
    <t xml:space="preserve">平均閲覧数</t>
  </si>
  <si>
    <t xml:space="preserve">平均返信</t>
  </si>
  <si>
    <t xml:space="preserve">平均プロフィール遷移率</t>
  </si>
  <si>
    <r>
      <rPr>
        <b val="true"/>
        <sz val="10"/>
        <color rgb="FFFFFFFF"/>
        <rFont val="Meiryo"/>
        <family val="0"/>
        <charset val="1"/>
      </rPr>
      <t xml:space="preserve">Note</t>
    </r>
    <r>
      <rPr>
        <b val="true"/>
        <sz val="10"/>
        <color rgb="FFFFFFFF"/>
        <rFont val="WenQuanYi Zen Hei"/>
        <family val="2"/>
      </rPr>
      <t xml:space="preserve">購入数合計</t>
    </r>
  </si>
  <si>
    <t xml:space="preserve">悩み：浅</t>
  </si>
  <si>
    <t xml:space="preserve">悩み：深</t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</si>
  <si>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：基本型（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ステップ・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投稿分割）</t>
    </r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</si>
  <si>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：断言リスト→引き型</t>
    </r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</si>
  <si>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：他者の一言→悔しさ→問い型</t>
    </r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</si>
  <si>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：再定義救済型</t>
    </r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</si>
  <si>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E</t>
    </r>
    <r>
      <rPr>
        <sz val="10"/>
        <rFont val="WenQuanYi Zen Hei"/>
        <family val="2"/>
      </rPr>
      <t xml:space="preserve">：告白＋「私だけ？」型</t>
    </r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</si>
  <si>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：一言引用→余韻型</t>
    </r>
  </si>
  <si>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G</t>
    </r>
    <r>
      <rPr>
        <sz val="10"/>
        <rFont val="WenQuanYi Zen Hei"/>
        <family val="2"/>
      </rPr>
      <t xml:space="preserve">：一行の根拠→具体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つ→結論型</t>
    </r>
  </si>
  <si>
    <r>
      <rPr>
        <sz val="9"/>
        <color rgb="FF595959"/>
        <rFont val="WenQuanYi Zen Hei"/>
        <family val="2"/>
      </rPr>
      <t xml:space="preserve">判断の目安：プロフィール遷移率が高い型を</t>
    </r>
    <r>
      <rPr>
        <sz val="9"/>
        <color rgb="FF595959"/>
        <rFont val="Meiryo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週目以降に増やす／返信が多い型は</t>
    </r>
    <r>
      <rPr>
        <sz val="9"/>
        <color rgb="FF595959"/>
        <rFont val="Meiryo"/>
        <family val="0"/>
        <charset val="1"/>
      </rPr>
      <t xml:space="preserve">Note</t>
    </r>
    <r>
      <rPr>
        <sz val="9"/>
        <color rgb="FF595959"/>
        <rFont val="WenQuanYi Zen Hei"/>
        <family val="2"/>
      </rPr>
      <t xml:space="preserve">導線より会話を優先／閲覧は多いが遷移が低い投稿は、ツリー最後の導線文を見直す。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</si>
</sst>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yyyy/mm/dd"/>
    <numFmt numFmtId="168" formatCode="mm/dd"/>
    <numFmt numFmtId="169" formatCode="0.0%"/>
    <numFmt numFmtId="170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"/>
      <family val="0"/>
      <charset val="1"/>
    </font>
    <font>
      <b val="true"/>
      <sz val="14"/>
      <color rgb="FF1F386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Meiryo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name val="Meiryo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b val="true"/>
      <sz val="11"/>
      <color rgb="FF1F3864"/>
      <name val="Meiryo"/>
      <family val="0"/>
      <charset val="1"/>
    </font>
    <font>
      <sz val="10"/>
      <color rgb="FF00800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"/>
      <family val="0"/>
      <charset val="1"/>
    </font>
    <font>
      <sz val="10"/>
      <color rgb="FF008000"/>
      <name val="Meiryo"/>
      <family val="0"/>
      <charset val="1"/>
    </font>
    <font>
      <b val="true"/>
      <sz val="10"/>
      <color rgb="FF0000FF"/>
      <name val="Meiryo"/>
      <family val="0"/>
      <charset val="1"/>
    </font>
    <font>
      <sz val="9"/>
      <color rgb="FF595959"/>
      <name val="WenQuanYi Zen Hei"/>
      <family val="2"/>
    </font>
    <font>
      <sz val="9"/>
      <color rgb="FF595959"/>
      <name val="Meiryo"/>
      <family val="0"/>
      <charset val="1"/>
    </font>
    <font>
      <sz val="10"/>
      <name val="Arial"/>
      <family val="2"/>
    </font>
    <font>
      <i val="true"/>
      <sz val="10"/>
      <color rgb="FF7F7F7F"/>
      <name val="WenQuanYi Zen Hei"/>
      <family val="2"/>
    </font>
    <font>
      <i val="true"/>
      <sz val="10"/>
      <color rgb="FF7F7F7F"/>
      <name val="Meiryo"/>
      <family val="0"/>
      <charset val="1"/>
    </font>
    <font>
      <sz val="10"/>
      <color rgb="FF0000FF"/>
      <name val="Meiryo"/>
      <family val="0"/>
      <charset val="1"/>
    </font>
    <font>
      <sz val="10"/>
      <color rgb="FFFFFFFF"/>
      <name val="WenQuanYi Zen Hei"/>
      <family val="2"/>
    </font>
    <font>
      <sz val="10"/>
      <color rgb="FFFFFFFF"/>
      <name val="Meiry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99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6.8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8" t="s">
        <v>6</v>
      </c>
    </row>
    <row r="7" customFormat="false" ht="15" hidden="false" customHeight="false" outlineLevel="0" collapsed="false">
      <c r="A7" s="7" t="s">
        <v>7</v>
      </c>
      <c r="B7" s="6" t="s">
        <v>8</v>
      </c>
    </row>
    <row r="8" customFormat="false" ht="26.85" hidden="false" customHeight="false" outlineLevel="0" collapsed="false">
      <c r="A8" s="7" t="s">
        <v>9</v>
      </c>
      <c r="B8" s="8" t="s">
        <v>10</v>
      </c>
    </row>
    <row r="9" customFormat="false" ht="26.85" hidden="false" customHeight="false" outlineLevel="0" collapsed="false">
      <c r="A9" s="7" t="s">
        <v>11</v>
      </c>
      <c r="B9" s="8" t="s">
        <v>12</v>
      </c>
    </row>
    <row r="10" customFormat="false" ht="15" hidden="false" customHeight="false" outlineLevel="0" collapsed="false">
      <c r="A10" s="3" t="s">
        <v>13</v>
      </c>
      <c r="B10" s="4"/>
    </row>
    <row r="11" customFormat="false" ht="15" hidden="false" customHeight="false" outlineLevel="0" collapsed="false">
      <c r="A11" s="7" t="s">
        <v>14</v>
      </c>
      <c r="B11" s="8" t="s">
        <v>15</v>
      </c>
    </row>
    <row r="12" customFormat="false" ht="39.55" hidden="false" customHeight="false" outlineLevel="0" collapsed="false">
      <c r="A12" s="7" t="s">
        <v>16</v>
      </c>
      <c r="B12" s="6" t="s">
        <v>17</v>
      </c>
    </row>
    <row r="13" customFormat="false" ht="15" hidden="false" customHeight="false" outlineLevel="0" collapsed="false">
      <c r="A13" s="7" t="s">
        <v>18</v>
      </c>
      <c r="B13" s="8" t="s">
        <v>19</v>
      </c>
    </row>
    <row r="14" customFormat="false" ht="15" hidden="false" customHeight="false" outlineLevel="0" collapsed="false">
      <c r="A14" s="7" t="s">
        <v>20</v>
      </c>
      <c r="B14" s="8" t="s">
        <v>21</v>
      </c>
    </row>
    <row r="15" customFormat="false" ht="15" hidden="false" customHeight="false" outlineLevel="0" collapsed="false">
      <c r="A15" s="9" t="s">
        <v>22</v>
      </c>
      <c r="B15" s="4"/>
    </row>
    <row r="16" customFormat="false" ht="26.85" hidden="false" customHeight="false" outlineLevel="0" collapsed="false">
      <c r="A16" s="7" t="s">
        <v>23</v>
      </c>
      <c r="B16" s="6" t="s">
        <v>24</v>
      </c>
    </row>
    <row r="17" customFormat="false" ht="15" hidden="false" customHeight="false" outlineLevel="0" collapsed="false">
      <c r="A17" s="7" t="s">
        <v>25</v>
      </c>
      <c r="B17" s="10" t="str">
        <f aca="false">"浅い悩み："&amp;COUNTIF(30日投稿スケジュール!$D$6:$D$35,"浅")&amp;"本／深い悩み："&amp;COUNTIF(30日投稿スケジュール!$D$6:$D$35,"深")&amp;"本（浅い悩み比率 "&amp;TEXT(COUNTIF(30日投稿スケジュール!$D$6:$D$35,"浅")/30,"0%")&amp;"）"</f>
        <v>浅い悩み：21本／深い悩み：9本（浅い悩み比率 70%）</v>
      </c>
    </row>
    <row r="18" customFormat="false" ht="26.85" hidden="false" customHeight="false" outlineLevel="0" collapsed="false">
      <c r="A18" s="7" t="s">
        <v>26</v>
      </c>
      <c r="B18" s="8" t="s">
        <v>27</v>
      </c>
    </row>
    <row r="19" customFormat="false" ht="15" hidden="false" customHeight="false" outlineLevel="0" collapsed="false">
      <c r="A19" s="3" t="s">
        <v>28</v>
      </c>
      <c r="B19" s="4"/>
    </row>
    <row r="20" customFormat="false" ht="26.85" hidden="false" customHeight="false" outlineLevel="0" collapsed="false">
      <c r="A20" s="7" t="s">
        <v>29</v>
      </c>
      <c r="B20" s="8" t="s">
        <v>30</v>
      </c>
    </row>
    <row r="21" customFormat="false" ht="26.85" hidden="false" customHeight="false" outlineLevel="0" collapsed="false">
      <c r="A21" s="7" t="s">
        <v>31</v>
      </c>
      <c r="B21" s="8" t="s">
        <v>32</v>
      </c>
    </row>
    <row r="22" customFormat="false" ht="39.55" hidden="false" customHeight="false" outlineLevel="0" collapsed="false">
      <c r="A22" s="7" t="s">
        <v>33</v>
      </c>
      <c r="B22" s="8" t="s">
        <v>34</v>
      </c>
    </row>
    <row r="23" customFormat="false" ht="26.85" hidden="false" customHeight="false" outlineLevel="0" collapsed="false">
      <c r="A23" s="7" t="s">
        <v>35</v>
      </c>
      <c r="B23" s="6" t="s">
        <v>36</v>
      </c>
    </row>
    <row r="24" customFormat="false" ht="15" hidden="false" customHeight="false" outlineLevel="0" collapsed="false">
      <c r="A24" s="7" t="s">
        <v>37</v>
      </c>
      <c r="B24" s="6" t="s">
        <v>38</v>
      </c>
    </row>
    <row r="25" customFormat="false" ht="15" hidden="false" customHeight="false" outlineLevel="0" collapsed="false">
      <c r="A25" s="3" t="s">
        <v>39</v>
      </c>
      <c r="B25" s="4"/>
    </row>
    <row r="26" customFormat="false" ht="26.85" hidden="false" customHeight="false" outlineLevel="0" collapsed="false">
      <c r="A26" s="5" t="s">
        <v>40</v>
      </c>
      <c r="B26" s="6" t="s">
        <v>41</v>
      </c>
    </row>
    <row r="27" customFormat="false" ht="39.55" hidden="false" customHeight="false" outlineLevel="0" collapsed="false">
      <c r="A27" s="7" t="s">
        <v>42</v>
      </c>
      <c r="B27" s="6" t="s">
        <v>43</v>
      </c>
    </row>
    <row r="28" customFormat="false" ht="15" hidden="false" customHeight="false" outlineLevel="0" collapsed="false">
      <c r="A28" s="7" t="s">
        <v>44</v>
      </c>
      <c r="B28" s="6" t="s">
        <v>45</v>
      </c>
    </row>
    <row r="29" customFormat="false" ht="15" hidden="false" customHeight="false" outlineLevel="0" collapsed="false">
      <c r="A29" s="7" t="s">
        <v>46</v>
      </c>
      <c r="B29" s="6" t="s">
        <v>47</v>
      </c>
    </row>
    <row r="30" customFormat="false" ht="26.85" hidden="false" customHeight="false" outlineLevel="0" collapsed="false">
      <c r="A30" s="7" t="s">
        <v>48</v>
      </c>
      <c r="B30" s="6" t="s">
        <v>49</v>
      </c>
    </row>
    <row r="31" customFormat="false" ht="15" hidden="false" customHeight="false" outlineLevel="0" collapsed="false">
      <c r="A31" s="5" t="s">
        <v>50</v>
      </c>
      <c r="B31" s="8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</row>
    <row r="5" customFormat="false" ht="39.55" hidden="false" customHeight="false" outlineLevel="0" collapsed="false">
      <c r="A5" s="6" t="s">
        <v>59</v>
      </c>
      <c r="B5" s="6" t="s">
        <v>60</v>
      </c>
      <c r="C5" s="6" t="s">
        <v>61</v>
      </c>
      <c r="D5" s="8" t="s">
        <v>62</v>
      </c>
      <c r="E5" s="6" t="s">
        <v>63</v>
      </c>
    </row>
    <row r="6" customFormat="false" ht="26.85" hidden="false" customHeight="false" outlineLevel="0" collapsed="false">
      <c r="A6" s="6" t="s">
        <v>59</v>
      </c>
      <c r="B6" s="6" t="s">
        <v>64</v>
      </c>
      <c r="C6" s="6" t="s">
        <v>65</v>
      </c>
      <c r="D6" s="8" t="s">
        <v>66</v>
      </c>
      <c r="E6" s="6" t="s">
        <v>67</v>
      </c>
    </row>
    <row r="7" customFormat="false" ht="26.85" hidden="false" customHeight="false" outlineLevel="0" collapsed="false">
      <c r="A7" s="6" t="s">
        <v>59</v>
      </c>
      <c r="B7" s="8" t="s">
        <v>68</v>
      </c>
      <c r="C7" s="6" t="s">
        <v>69</v>
      </c>
      <c r="D7" s="8" t="s">
        <v>70</v>
      </c>
      <c r="E7" s="6"/>
    </row>
    <row r="8" customFormat="false" ht="26.85" hidden="false" customHeight="false" outlineLevel="0" collapsed="false">
      <c r="A8" s="6" t="s">
        <v>59</v>
      </c>
      <c r="B8" s="6" t="s">
        <v>71</v>
      </c>
      <c r="C8" s="6" t="s">
        <v>72</v>
      </c>
      <c r="D8" s="8" t="s">
        <v>73</v>
      </c>
      <c r="E8" s="6"/>
    </row>
    <row r="9" customFormat="false" ht="26.85" hidden="false" customHeight="false" outlineLevel="0" collapsed="false">
      <c r="A9" s="6" t="s">
        <v>59</v>
      </c>
      <c r="B9" s="6" t="s">
        <v>74</v>
      </c>
      <c r="C9" s="6" t="s">
        <v>75</v>
      </c>
      <c r="D9" s="8" t="s">
        <v>76</v>
      </c>
      <c r="E9" s="6" t="s">
        <v>77</v>
      </c>
    </row>
    <row r="10" customFormat="false" ht="26.85" hidden="false" customHeight="false" outlineLevel="0" collapsed="false">
      <c r="A10" s="8" t="s">
        <v>78</v>
      </c>
      <c r="B10" s="6" t="s">
        <v>79</v>
      </c>
      <c r="C10" s="8" t="s">
        <v>80</v>
      </c>
      <c r="D10" s="8" t="s">
        <v>81</v>
      </c>
      <c r="E10" s="6"/>
    </row>
    <row r="11" customFormat="false" ht="26.85" hidden="false" customHeight="false" outlineLevel="0" collapsed="false">
      <c r="A11" s="8" t="s">
        <v>78</v>
      </c>
      <c r="B11" s="6" t="s">
        <v>82</v>
      </c>
      <c r="C11" s="8" t="s">
        <v>83</v>
      </c>
      <c r="D11" s="8" t="s">
        <v>84</v>
      </c>
      <c r="E11" s="6"/>
    </row>
    <row r="12" customFormat="false" ht="15" hidden="false" customHeight="false" outlineLevel="0" collapsed="false">
      <c r="A12" s="6" t="s">
        <v>85</v>
      </c>
      <c r="B12" s="6" t="s">
        <v>86</v>
      </c>
      <c r="C12" s="6" t="s">
        <v>87</v>
      </c>
      <c r="D12" s="8" t="s">
        <v>88</v>
      </c>
      <c r="E12" s="6" t="s">
        <v>89</v>
      </c>
    </row>
    <row r="13" customFormat="false" ht="26.85" hidden="false" customHeight="false" outlineLevel="0" collapsed="false">
      <c r="A13" s="6" t="s">
        <v>85</v>
      </c>
      <c r="B13" s="6" t="s">
        <v>90</v>
      </c>
      <c r="C13" s="6" t="s">
        <v>91</v>
      </c>
      <c r="D13" s="8" t="s">
        <v>92</v>
      </c>
      <c r="E13" s="6" t="s">
        <v>93</v>
      </c>
    </row>
    <row r="14" customFormat="false" ht="26.85" hidden="false" customHeight="false" outlineLevel="0" collapsed="false">
      <c r="A14" s="6" t="s">
        <v>85</v>
      </c>
      <c r="B14" s="6" t="s">
        <v>94</v>
      </c>
      <c r="C14" s="6" t="s">
        <v>95</v>
      </c>
      <c r="D14" s="8" t="s">
        <v>96</v>
      </c>
      <c r="E14" s="6"/>
    </row>
    <row r="15" customFormat="false" ht="26.85" hidden="false" customHeight="false" outlineLevel="0" collapsed="false">
      <c r="A15" s="6" t="s">
        <v>85</v>
      </c>
      <c r="B15" s="6" t="s">
        <v>97</v>
      </c>
      <c r="C15" s="6" t="s">
        <v>98</v>
      </c>
      <c r="D15" s="8" t="s">
        <v>99</v>
      </c>
      <c r="E15" s="6"/>
    </row>
    <row r="16" customFormat="false" ht="26.85" hidden="false" customHeight="false" outlineLevel="0" collapsed="false">
      <c r="A16" s="6" t="s">
        <v>85</v>
      </c>
      <c r="B16" s="8" t="s">
        <v>100</v>
      </c>
      <c r="C16" s="6" t="s">
        <v>101</v>
      </c>
      <c r="D16" s="8" t="s">
        <v>102</v>
      </c>
      <c r="E16" s="6"/>
    </row>
    <row r="17" customFormat="false" ht="39.55" hidden="false" customHeight="false" outlineLevel="0" collapsed="false">
      <c r="A17" s="6" t="s">
        <v>103</v>
      </c>
      <c r="B17" s="6" t="s">
        <v>104</v>
      </c>
      <c r="C17" s="6" t="s">
        <v>105</v>
      </c>
      <c r="D17" s="8" t="s">
        <v>106</v>
      </c>
      <c r="E17" s="6" t="s">
        <v>107</v>
      </c>
    </row>
    <row r="18" customFormat="false" ht="26.85" hidden="false" customHeight="false" outlineLevel="0" collapsed="false">
      <c r="A18" s="6" t="s">
        <v>103</v>
      </c>
      <c r="B18" s="6" t="s">
        <v>108</v>
      </c>
      <c r="C18" s="6" t="s">
        <v>109</v>
      </c>
      <c r="D18" s="8" t="s">
        <v>110</v>
      </c>
      <c r="E18" s="6" t="s">
        <v>111</v>
      </c>
    </row>
    <row r="19" customFormat="false" ht="26.85" hidden="false" customHeight="false" outlineLevel="0" collapsed="false">
      <c r="A19" s="6" t="s">
        <v>103</v>
      </c>
      <c r="B19" s="6" t="s">
        <v>112</v>
      </c>
      <c r="C19" s="6" t="s">
        <v>113</v>
      </c>
      <c r="D19" s="8" t="s">
        <v>114</v>
      </c>
      <c r="E19" s="6"/>
    </row>
    <row r="20" customFormat="false" ht="26.85" hidden="false" customHeight="false" outlineLevel="0" collapsed="false">
      <c r="A20" s="6" t="s">
        <v>103</v>
      </c>
      <c r="B20" s="6" t="s">
        <v>115</v>
      </c>
      <c r="C20" s="6" t="s">
        <v>116</v>
      </c>
      <c r="D20" s="8" t="s">
        <v>117</v>
      </c>
      <c r="E20" s="6"/>
    </row>
    <row r="21" customFormat="false" ht="26.85" hidden="false" customHeight="false" outlineLevel="0" collapsed="false">
      <c r="A21" s="6" t="s">
        <v>118</v>
      </c>
      <c r="B21" s="8" t="s">
        <v>119</v>
      </c>
      <c r="C21" s="6" t="s">
        <v>120</v>
      </c>
      <c r="D21" s="8" t="s">
        <v>121</v>
      </c>
      <c r="E21" s="6"/>
    </row>
    <row r="22" customFormat="false" ht="26.85" hidden="false" customHeight="false" outlineLevel="0" collapsed="false">
      <c r="A22" s="6" t="s">
        <v>118</v>
      </c>
      <c r="B22" s="6" t="s">
        <v>122</v>
      </c>
      <c r="C22" s="6" t="s">
        <v>123</v>
      </c>
      <c r="D22" s="8" t="s">
        <v>124</v>
      </c>
      <c r="E22" s="6"/>
    </row>
    <row r="23" customFormat="false" ht="26.85" hidden="false" customHeight="false" outlineLevel="0" collapsed="false">
      <c r="A23" s="6" t="s">
        <v>125</v>
      </c>
      <c r="B23" s="6" t="s">
        <v>126</v>
      </c>
      <c r="C23" s="6" t="s">
        <v>127</v>
      </c>
      <c r="D23" s="8" t="s">
        <v>128</v>
      </c>
      <c r="E23" s="6"/>
    </row>
    <row r="24" customFormat="false" ht="15" hidden="false" customHeight="false" outlineLevel="0" collapsed="false">
      <c r="A24" s="6" t="s">
        <v>125</v>
      </c>
      <c r="B24" s="6" t="s">
        <v>129</v>
      </c>
      <c r="C24" s="6" t="s">
        <v>130</v>
      </c>
      <c r="D24" s="8" t="s">
        <v>110</v>
      </c>
      <c r="E24" s="6"/>
    </row>
    <row r="25" customFormat="false" ht="26.85" hidden="false" customHeight="false" outlineLevel="0" collapsed="false">
      <c r="A25" s="6" t="s">
        <v>125</v>
      </c>
      <c r="B25" s="6" t="s">
        <v>131</v>
      </c>
      <c r="C25" s="6" t="s">
        <v>132</v>
      </c>
      <c r="D25" s="8" t="s">
        <v>133</v>
      </c>
      <c r="E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40"/>
    <col collapsed="false" customWidth="true" hidden="false" outlineLevel="0" max="10" min="10" style="0" width="32"/>
    <col collapsed="false" customWidth="true" hidden="false" outlineLevel="0" max="11" min="11" style="0" width="34"/>
    <col collapsed="false" customWidth="true" hidden="false" outlineLevel="0" max="12" min="12" style="0" width="36"/>
  </cols>
  <sheetData>
    <row r="1" customFormat="false" ht="17.35" hidden="false" customHeight="false" outlineLevel="0" collapsed="false">
      <c r="A1" s="11" t="s">
        <v>134</v>
      </c>
    </row>
    <row r="2" customFormat="false" ht="15" hidden="false" customHeight="false" outlineLevel="0" collapsed="false">
      <c r="A2" s="2" t="s">
        <v>135</v>
      </c>
    </row>
    <row r="4" customFormat="false" ht="26.85" hidden="false" customHeight="false" outlineLevel="0" collapsed="false">
      <c r="A4" s="12" t="s">
        <v>136</v>
      </c>
      <c r="B4" s="12" t="s">
        <v>137</v>
      </c>
      <c r="C4" s="12" t="s">
        <v>138</v>
      </c>
      <c r="D4" s="12" t="s">
        <v>139</v>
      </c>
      <c r="E4" s="12" t="s">
        <v>35</v>
      </c>
      <c r="F4" s="12" t="s">
        <v>140</v>
      </c>
      <c r="G4" s="12" t="s">
        <v>141</v>
      </c>
      <c r="H4" s="12" t="s">
        <v>142</v>
      </c>
      <c r="I4" s="12" t="s">
        <v>143</v>
      </c>
      <c r="J4" s="12" t="s">
        <v>144</v>
      </c>
      <c r="K4" s="12" t="s">
        <v>145</v>
      </c>
      <c r="L4" s="13" t="s">
        <v>146</v>
      </c>
    </row>
    <row r="5" customFormat="false" ht="37.3" hidden="false" customHeight="false" outlineLevel="0" collapsed="false">
      <c r="A5" s="6" t="s">
        <v>147</v>
      </c>
      <c r="B5" s="8" t="s">
        <v>148</v>
      </c>
      <c r="C5" s="8" t="s">
        <v>149</v>
      </c>
      <c r="D5" s="14" t="n">
        <v>14800</v>
      </c>
      <c r="E5" s="14" t="n">
        <v>1100</v>
      </c>
      <c r="F5" s="14" t="n">
        <v>28</v>
      </c>
      <c r="G5" s="8" t="s">
        <v>150</v>
      </c>
      <c r="H5" s="6" t="s">
        <v>151</v>
      </c>
      <c r="I5" s="6" t="s">
        <v>152</v>
      </c>
      <c r="J5" s="6" t="s">
        <v>153</v>
      </c>
      <c r="K5" s="8" t="s">
        <v>154</v>
      </c>
      <c r="L5" s="8" t="s">
        <v>155</v>
      </c>
    </row>
    <row r="6" customFormat="false" ht="39.55" hidden="false" customHeight="false" outlineLevel="0" collapsed="false">
      <c r="A6" s="6" t="s">
        <v>147</v>
      </c>
      <c r="B6" s="8" t="s">
        <v>156</v>
      </c>
      <c r="C6" s="8" t="s">
        <v>157</v>
      </c>
      <c r="D6" s="14" t="n">
        <v>385</v>
      </c>
      <c r="E6" s="14" t="n">
        <v>363</v>
      </c>
      <c r="F6" s="14" t="n">
        <v>5</v>
      </c>
      <c r="G6" s="6" t="s">
        <v>158</v>
      </c>
      <c r="H6" s="6" t="s">
        <v>159</v>
      </c>
      <c r="I6" s="6" t="s">
        <v>160</v>
      </c>
      <c r="J6" s="6" t="s">
        <v>161</v>
      </c>
      <c r="K6" s="8" t="s">
        <v>162</v>
      </c>
      <c r="L6" s="8" t="s">
        <v>163</v>
      </c>
    </row>
    <row r="7" customFormat="false" ht="26.85" hidden="false" customHeight="false" outlineLevel="0" collapsed="false">
      <c r="A7" s="6" t="s">
        <v>164</v>
      </c>
      <c r="B7" s="8" t="s">
        <v>165</v>
      </c>
      <c r="C7" s="8" t="s">
        <v>166</v>
      </c>
      <c r="D7" s="14" t="n">
        <v>11000</v>
      </c>
      <c r="E7" s="14" t="n">
        <v>452</v>
      </c>
      <c r="F7" s="14" t="n">
        <v>14</v>
      </c>
      <c r="G7" s="8" t="s">
        <v>150</v>
      </c>
      <c r="H7" s="6" t="s">
        <v>167</v>
      </c>
      <c r="I7" s="6" t="s">
        <v>168</v>
      </c>
      <c r="J7" s="6" t="s">
        <v>161</v>
      </c>
      <c r="K7" s="8" t="s">
        <v>169</v>
      </c>
      <c r="L7" s="8" t="s">
        <v>170</v>
      </c>
    </row>
    <row r="8" customFormat="false" ht="26.85" hidden="false" customHeight="false" outlineLevel="0" collapsed="false">
      <c r="A8" s="6" t="s">
        <v>164</v>
      </c>
      <c r="B8" s="8" t="s">
        <v>171</v>
      </c>
      <c r="C8" s="8" t="s">
        <v>172</v>
      </c>
      <c r="D8" s="14" t="n">
        <v>137</v>
      </c>
      <c r="E8" s="14" t="n">
        <v>29</v>
      </c>
      <c r="F8" s="14" t="n">
        <v>2</v>
      </c>
      <c r="G8" s="6" t="s">
        <v>158</v>
      </c>
      <c r="H8" s="6" t="s">
        <v>173</v>
      </c>
      <c r="I8" s="6" t="s">
        <v>174</v>
      </c>
      <c r="J8" s="6" t="s">
        <v>161</v>
      </c>
      <c r="K8" s="8" t="s">
        <v>175</v>
      </c>
      <c r="L8" s="8" t="s">
        <v>176</v>
      </c>
    </row>
    <row r="9" customFormat="false" ht="26.85" hidden="false" customHeight="false" outlineLevel="0" collapsed="false">
      <c r="A9" s="6" t="s">
        <v>164</v>
      </c>
      <c r="B9" s="8" t="s">
        <v>177</v>
      </c>
      <c r="C9" s="8" t="s">
        <v>178</v>
      </c>
      <c r="D9" s="14" t="n">
        <v>99</v>
      </c>
      <c r="E9" s="14" t="n">
        <v>31</v>
      </c>
      <c r="F9" s="14" t="n">
        <v>0</v>
      </c>
      <c r="G9" s="6" t="s">
        <v>158</v>
      </c>
      <c r="H9" s="6" t="s">
        <v>179</v>
      </c>
      <c r="I9" s="6" t="s">
        <v>180</v>
      </c>
      <c r="J9" s="6" t="s">
        <v>161</v>
      </c>
      <c r="K9" s="8" t="s">
        <v>181</v>
      </c>
      <c r="L9" s="8" t="s">
        <v>182</v>
      </c>
    </row>
    <row r="10" customFormat="false" ht="37.3" hidden="false" customHeight="false" outlineLevel="0" collapsed="false">
      <c r="A10" s="6" t="s">
        <v>183</v>
      </c>
      <c r="B10" s="8" t="s">
        <v>184</v>
      </c>
      <c r="C10" s="8" t="s">
        <v>185</v>
      </c>
      <c r="D10" s="14" t="n">
        <v>915</v>
      </c>
      <c r="E10" s="14" t="n">
        <v>61</v>
      </c>
      <c r="F10" s="14" t="n">
        <v>2</v>
      </c>
      <c r="G10" s="8" t="s">
        <v>186</v>
      </c>
      <c r="H10" s="6" t="s">
        <v>187</v>
      </c>
      <c r="I10" s="6" t="s">
        <v>188</v>
      </c>
      <c r="J10" s="6" t="s">
        <v>161</v>
      </c>
      <c r="K10" s="8" t="s">
        <v>189</v>
      </c>
      <c r="L10" s="8" t="s">
        <v>190</v>
      </c>
    </row>
    <row r="11" customFormat="false" ht="26.85" hidden="false" customHeight="false" outlineLevel="0" collapsed="false">
      <c r="A11" s="6" t="s">
        <v>191</v>
      </c>
      <c r="B11" s="8" t="s">
        <v>192</v>
      </c>
      <c r="C11" s="8" t="s">
        <v>193</v>
      </c>
      <c r="D11" s="14" t="n">
        <v>37</v>
      </c>
      <c r="E11" s="14" t="n">
        <v>38</v>
      </c>
      <c r="F11" s="14" t="n">
        <v>0</v>
      </c>
      <c r="G11" s="6" t="s">
        <v>158</v>
      </c>
      <c r="H11" s="6" t="s">
        <v>194</v>
      </c>
      <c r="I11" s="6" t="s">
        <v>195</v>
      </c>
      <c r="J11" s="6" t="s">
        <v>161</v>
      </c>
      <c r="K11" s="8" t="s">
        <v>196</v>
      </c>
      <c r="L11" s="8" t="s">
        <v>197</v>
      </c>
    </row>
    <row r="12" customFormat="false" ht="39.55" hidden="false" customHeight="false" outlineLevel="0" collapsed="false">
      <c r="A12" s="6" t="s">
        <v>198</v>
      </c>
      <c r="B12" s="8" t="s">
        <v>199</v>
      </c>
      <c r="C12" s="6" t="s">
        <v>200</v>
      </c>
      <c r="D12" s="14"/>
      <c r="E12" s="14"/>
      <c r="F12" s="14"/>
      <c r="G12" s="8" t="s">
        <v>201</v>
      </c>
      <c r="H12" s="6" t="s">
        <v>202</v>
      </c>
      <c r="I12" s="6" t="s">
        <v>203</v>
      </c>
      <c r="J12" s="6" t="s">
        <v>204</v>
      </c>
      <c r="K12" s="8" t="s">
        <v>205</v>
      </c>
      <c r="L12" s="8" t="s">
        <v>206</v>
      </c>
    </row>
    <row r="13" customFormat="false" ht="39.55" hidden="false" customHeight="false" outlineLevel="0" collapsed="false">
      <c r="A13" s="6" t="s">
        <v>198</v>
      </c>
      <c r="B13" s="8" t="s">
        <v>207</v>
      </c>
      <c r="C13" s="6" t="s">
        <v>208</v>
      </c>
      <c r="D13" s="14"/>
      <c r="E13" s="14"/>
      <c r="F13" s="14"/>
      <c r="G13" s="8" t="s">
        <v>209</v>
      </c>
      <c r="H13" s="6" t="s">
        <v>210</v>
      </c>
      <c r="I13" s="6" t="s">
        <v>211</v>
      </c>
      <c r="J13" s="6" t="s">
        <v>212</v>
      </c>
      <c r="K13" s="8" t="s">
        <v>213</v>
      </c>
      <c r="L13" s="8" t="s">
        <v>214</v>
      </c>
    </row>
    <row r="14" customFormat="false" ht="39.55" hidden="false" customHeight="false" outlineLevel="0" collapsed="false">
      <c r="A14" s="6" t="s">
        <v>215</v>
      </c>
      <c r="B14" s="8" t="s">
        <v>216</v>
      </c>
      <c r="C14" s="6" t="s">
        <v>217</v>
      </c>
      <c r="D14" s="14"/>
      <c r="E14" s="14"/>
      <c r="F14" s="14"/>
      <c r="G14" s="8" t="s">
        <v>218</v>
      </c>
      <c r="H14" s="6" t="s">
        <v>219</v>
      </c>
      <c r="I14" s="6" t="s">
        <v>220</v>
      </c>
      <c r="J14" s="6" t="s">
        <v>161</v>
      </c>
      <c r="K14" s="8" t="s">
        <v>221</v>
      </c>
      <c r="L14" s="8" t="s">
        <v>222</v>
      </c>
    </row>
    <row r="16" customFormat="false" ht="15" hidden="false" customHeight="false" outlineLevel="0" collapsed="false">
      <c r="A16" s="3" t="s">
        <v>223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4.15" hidden="false" customHeight="false" outlineLevel="0" collapsed="false">
      <c r="A17" s="15" t="s">
        <v>224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customFormat="false" ht="14.15" hidden="false" customHeight="false" outlineLevel="0" collapsed="false">
      <c r="A18" s="16" t="s">
        <v>225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14.15" hidden="false" customHeight="false" outlineLevel="0" collapsed="false">
      <c r="A19" s="16" t="s">
        <v>226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customFormat="false" ht="14.15" hidden="false" customHeight="false" outlineLevel="0" collapsed="false">
      <c r="A20" s="16" t="s">
        <v>227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customFormat="false" ht="14.15" hidden="false" customHeight="false" outlineLevel="0" collapsed="false">
      <c r="A21" s="16" t="s">
        <v>228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customFormat="false" ht="14.15" hidden="false" customHeight="false" outlineLevel="0" collapsed="false">
      <c r="A22" s="16" t="s">
        <v>229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</sheetData>
  <mergeCells count="6">
    <mergeCell ref="A17:L17"/>
    <mergeCell ref="A18:L18"/>
    <mergeCell ref="A19:L19"/>
    <mergeCell ref="A20:L20"/>
    <mergeCell ref="A21:L21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1" t="s">
        <v>230</v>
      </c>
    </row>
    <row r="2" customFormat="false" ht="15" hidden="false" customHeight="false" outlineLevel="0" collapsed="false">
      <c r="A2" s="17" t="s">
        <v>231</v>
      </c>
    </row>
    <row r="4" customFormat="false" ht="15" hidden="false" customHeight="false" outlineLevel="0" collapsed="false">
      <c r="A4" s="12" t="s">
        <v>232</v>
      </c>
      <c r="B4" s="12" t="s">
        <v>233</v>
      </c>
      <c r="C4" s="12" t="s">
        <v>234</v>
      </c>
      <c r="D4" s="12" t="s">
        <v>235</v>
      </c>
      <c r="E4" s="12" t="s">
        <v>236</v>
      </c>
      <c r="F4" s="12" t="s">
        <v>237</v>
      </c>
      <c r="G4" s="12" t="s">
        <v>238</v>
      </c>
      <c r="H4" s="12" t="s">
        <v>239</v>
      </c>
    </row>
    <row r="5" customFormat="false" ht="150" hidden="false" customHeight="true" outlineLevel="0" collapsed="false">
      <c r="A5" s="18" t="s">
        <v>240</v>
      </c>
      <c r="B5" s="6" t="s">
        <v>241</v>
      </c>
      <c r="C5" s="8" t="s">
        <v>242</v>
      </c>
      <c r="D5" s="8" t="s">
        <v>243</v>
      </c>
      <c r="E5" s="6" t="s">
        <v>244</v>
      </c>
      <c r="F5" s="6" t="s">
        <v>245</v>
      </c>
      <c r="G5" s="19" t="n">
        <f aca="false">COUNTIF(30日投稿スケジュール!$F$6:$F$35,A5)</f>
        <v>8</v>
      </c>
      <c r="H5" s="8" t="s">
        <v>246</v>
      </c>
    </row>
    <row r="6" customFormat="false" ht="150" hidden="false" customHeight="true" outlineLevel="0" collapsed="false">
      <c r="A6" s="18" t="s">
        <v>247</v>
      </c>
      <c r="B6" s="6" t="s">
        <v>248</v>
      </c>
      <c r="C6" s="8" t="s">
        <v>249</v>
      </c>
      <c r="D6" s="8" t="s">
        <v>250</v>
      </c>
      <c r="E6" s="6" t="s">
        <v>251</v>
      </c>
      <c r="F6" s="6" t="s">
        <v>252</v>
      </c>
      <c r="G6" s="19" t="n">
        <f aca="false">COUNTIF(30日投稿スケジュール!$F$6:$F$35,A6)</f>
        <v>5</v>
      </c>
      <c r="H6" s="8" t="s">
        <v>253</v>
      </c>
    </row>
    <row r="7" customFormat="false" ht="150" hidden="false" customHeight="true" outlineLevel="0" collapsed="false">
      <c r="A7" s="18" t="s">
        <v>254</v>
      </c>
      <c r="B7" s="6" t="s">
        <v>255</v>
      </c>
      <c r="C7" s="8" t="s">
        <v>256</v>
      </c>
      <c r="D7" s="8" t="s">
        <v>257</v>
      </c>
      <c r="E7" s="6" t="s">
        <v>258</v>
      </c>
      <c r="F7" s="6" t="s">
        <v>259</v>
      </c>
      <c r="G7" s="19" t="n">
        <f aca="false">COUNTIF(30日投稿スケジュール!$F$6:$F$35,A7)</f>
        <v>3</v>
      </c>
      <c r="H7" s="8" t="s">
        <v>260</v>
      </c>
    </row>
    <row r="8" customFormat="false" ht="150" hidden="false" customHeight="true" outlineLevel="0" collapsed="false">
      <c r="A8" s="18" t="s">
        <v>261</v>
      </c>
      <c r="B8" s="6" t="s">
        <v>262</v>
      </c>
      <c r="C8" s="8" t="s">
        <v>263</v>
      </c>
      <c r="D8" s="8" t="s">
        <v>264</v>
      </c>
      <c r="E8" s="6" t="s">
        <v>265</v>
      </c>
      <c r="F8" s="8" t="s">
        <v>266</v>
      </c>
      <c r="G8" s="19" t="n">
        <f aca="false">COUNTIF(30日投稿スケジュール!$F$6:$F$35,A8)</f>
        <v>8</v>
      </c>
      <c r="H8" s="6" t="s">
        <v>267</v>
      </c>
    </row>
    <row r="9" customFormat="false" ht="150" hidden="false" customHeight="true" outlineLevel="0" collapsed="false">
      <c r="A9" s="18" t="s">
        <v>268</v>
      </c>
      <c r="B9" s="6" t="s">
        <v>269</v>
      </c>
      <c r="C9" s="8" t="s">
        <v>270</v>
      </c>
      <c r="D9" s="8" t="s">
        <v>271</v>
      </c>
      <c r="E9" s="6" t="s">
        <v>272</v>
      </c>
      <c r="F9" s="6" t="s">
        <v>273</v>
      </c>
      <c r="G9" s="19" t="n">
        <f aca="false">COUNTIF(30日投稿スケジュール!$F$6:$F$35,A9)</f>
        <v>3</v>
      </c>
      <c r="H9" s="6" t="s">
        <v>274</v>
      </c>
    </row>
    <row r="10" customFormat="false" ht="150" hidden="false" customHeight="true" outlineLevel="0" collapsed="false">
      <c r="A10" s="18" t="s">
        <v>275</v>
      </c>
      <c r="B10" s="6" t="s">
        <v>276</v>
      </c>
      <c r="C10" s="8" t="s">
        <v>277</v>
      </c>
      <c r="D10" s="8" t="s">
        <v>278</v>
      </c>
      <c r="E10" s="6" t="s">
        <v>279</v>
      </c>
      <c r="F10" s="6" t="s">
        <v>280</v>
      </c>
      <c r="G10" s="19" t="n">
        <f aca="false">COUNTIF(30日投稿スケジュール!$F$6:$F$35,A10)</f>
        <v>1</v>
      </c>
      <c r="H10" s="6" t="s">
        <v>281</v>
      </c>
    </row>
    <row r="11" customFormat="false" ht="150" hidden="false" customHeight="true" outlineLevel="0" collapsed="false">
      <c r="A11" s="18" t="s">
        <v>282</v>
      </c>
      <c r="B11" s="6" t="s">
        <v>283</v>
      </c>
      <c r="C11" s="8" t="s">
        <v>284</v>
      </c>
      <c r="D11" s="8" t="s">
        <v>285</v>
      </c>
      <c r="E11" s="6" t="s">
        <v>286</v>
      </c>
      <c r="F11" s="6" t="s">
        <v>287</v>
      </c>
      <c r="G11" s="19" t="n">
        <f aca="false">COUNTIF(30日投稿スケジュール!$F$6:$F$35,A11)</f>
        <v>2</v>
      </c>
      <c r="H11" s="6" t="s">
        <v>288</v>
      </c>
    </row>
    <row r="13" customFormat="false" ht="15" hidden="false" customHeight="false" outlineLevel="0" collapsed="false">
      <c r="A13" s="3" t="s">
        <v>289</v>
      </c>
      <c r="B13" s="4"/>
      <c r="C13" s="4"/>
      <c r="D13" s="4"/>
      <c r="E13" s="4"/>
      <c r="F13" s="4"/>
      <c r="G13" s="4"/>
      <c r="H13" s="4"/>
    </row>
    <row r="14" customFormat="false" ht="26.85" hidden="false" customHeight="false" outlineLevel="0" collapsed="false">
      <c r="A14" s="12" t="s">
        <v>290</v>
      </c>
      <c r="B14" s="12" t="s">
        <v>232</v>
      </c>
      <c r="C14" s="12" t="s">
        <v>291</v>
      </c>
      <c r="D14" s="12"/>
      <c r="E14" s="12"/>
      <c r="F14" s="12"/>
      <c r="G14" s="12"/>
      <c r="H14" s="12"/>
    </row>
    <row r="15" customFormat="false" ht="26.85" hidden="false" customHeight="true" outlineLevel="0" collapsed="false">
      <c r="A15" s="6" t="s">
        <v>292</v>
      </c>
      <c r="B15" s="6" t="s">
        <v>293</v>
      </c>
      <c r="C15" s="6" t="s">
        <v>294</v>
      </c>
      <c r="D15" s="6"/>
      <c r="E15" s="6"/>
      <c r="F15" s="6"/>
      <c r="G15" s="6"/>
      <c r="H15" s="6"/>
    </row>
    <row r="16" customFormat="false" ht="26.85" hidden="false" customHeight="true" outlineLevel="0" collapsed="false">
      <c r="A16" s="6" t="s">
        <v>292</v>
      </c>
      <c r="B16" s="6" t="s">
        <v>295</v>
      </c>
      <c r="C16" s="6" t="s">
        <v>296</v>
      </c>
      <c r="D16" s="6"/>
      <c r="E16" s="6"/>
      <c r="F16" s="6"/>
      <c r="G16" s="6"/>
      <c r="H16" s="6"/>
    </row>
    <row r="17" customFormat="false" ht="26.85" hidden="false" customHeight="true" outlineLevel="0" collapsed="false">
      <c r="A17" s="6" t="s">
        <v>292</v>
      </c>
      <c r="B17" s="6" t="s">
        <v>297</v>
      </c>
      <c r="C17" s="6" t="s">
        <v>298</v>
      </c>
      <c r="D17" s="6"/>
      <c r="E17" s="6"/>
      <c r="F17" s="6"/>
      <c r="G17" s="6"/>
      <c r="H17" s="6"/>
    </row>
    <row r="18" customFormat="false" ht="26.85" hidden="false" customHeight="true" outlineLevel="0" collapsed="false">
      <c r="A18" s="6" t="s">
        <v>299</v>
      </c>
      <c r="B18" s="6" t="s">
        <v>300</v>
      </c>
      <c r="C18" s="8" t="s">
        <v>301</v>
      </c>
      <c r="D18" s="8"/>
      <c r="E18" s="8"/>
      <c r="F18" s="8"/>
      <c r="G18" s="8"/>
      <c r="H18" s="8"/>
    </row>
    <row r="19" customFormat="false" ht="26.85" hidden="false" customHeight="true" outlineLevel="0" collapsed="false">
      <c r="A19" s="6" t="s">
        <v>299</v>
      </c>
      <c r="B19" s="6" t="s">
        <v>302</v>
      </c>
      <c r="C19" s="6" t="s">
        <v>303</v>
      </c>
      <c r="D19" s="6"/>
      <c r="E19" s="6"/>
      <c r="F19" s="6"/>
      <c r="G19" s="6"/>
      <c r="H19" s="6"/>
    </row>
    <row r="20" customFormat="false" ht="39.55" hidden="false" customHeight="true" outlineLevel="0" collapsed="false">
      <c r="A20" s="6" t="s">
        <v>299</v>
      </c>
      <c r="B20" s="6" t="s">
        <v>304</v>
      </c>
      <c r="C20" s="6" t="s">
        <v>305</v>
      </c>
      <c r="D20" s="6"/>
      <c r="E20" s="6"/>
      <c r="F20" s="6"/>
      <c r="G20" s="6"/>
      <c r="H20" s="6"/>
    </row>
    <row r="21" customFormat="false" ht="26.85" hidden="false" customHeight="true" outlineLevel="0" collapsed="false">
      <c r="A21" s="6" t="s">
        <v>299</v>
      </c>
      <c r="B21" s="6" t="s">
        <v>306</v>
      </c>
      <c r="C21" s="8" t="s">
        <v>307</v>
      </c>
      <c r="D21" s="8"/>
      <c r="E21" s="8"/>
      <c r="F21" s="8"/>
      <c r="G21" s="8"/>
      <c r="H21" s="8"/>
    </row>
  </sheetData>
  <mergeCells count="7">
    <mergeCell ref="C15:H15"/>
    <mergeCell ref="C16:H16"/>
    <mergeCell ref="C17:H17"/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1" t="s">
        <v>308</v>
      </c>
    </row>
    <row r="2" customFormat="false" ht="15" hidden="false" customHeight="false" outlineLevel="0" collapsed="false">
      <c r="A2" s="17" t="s">
        <v>309</v>
      </c>
    </row>
    <row r="4" customFormat="false" ht="15" hidden="false" customHeight="false" outlineLevel="0" collapsed="false">
      <c r="A4" s="12" t="s">
        <v>54</v>
      </c>
      <c r="B4" s="13" t="s">
        <v>310</v>
      </c>
      <c r="C4" s="12" t="s">
        <v>311</v>
      </c>
      <c r="D4" s="12" t="s">
        <v>312</v>
      </c>
      <c r="E4" s="12" t="s">
        <v>57</v>
      </c>
    </row>
    <row r="5" customFormat="false" ht="15" hidden="false" customHeight="false" outlineLevel="0" collapsed="false">
      <c r="A5" s="20" t="s">
        <v>313</v>
      </c>
      <c r="B5" s="20" t="n">
        <v>1</v>
      </c>
      <c r="C5" s="21" t="s">
        <v>314</v>
      </c>
      <c r="D5" s="20" t="s">
        <v>315</v>
      </c>
      <c r="E5" s="21" t="s">
        <v>84</v>
      </c>
    </row>
    <row r="6" customFormat="false" ht="15" hidden="false" customHeight="false" outlineLevel="0" collapsed="false">
      <c r="A6" s="20" t="s">
        <v>313</v>
      </c>
      <c r="B6" s="20" t="n">
        <v>2</v>
      </c>
      <c r="C6" s="21" t="s">
        <v>316</v>
      </c>
      <c r="D6" s="21" t="s">
        <v>317</v>
      </c>
      <c r="E6" s="21" t="s">
        <v>318</v>
      </c>
    </row>
    <row r="7" customFormat="false" ht="15" hidden="false" customHeight="false" outlineLevel="0" collapsed="false">
      <c r="A7" s="20" t="s">
        <v>313</v>
      </c>
      <c r="B7" s="20" t="n">
        <v>3</v>
      </c>
      <c r="C7" s="21" t="s">
        <v>319</v>
      </c>
      <c r="D7" s="20" t="s">
        <v>320</v>
      </c>
      <c r="E7" s="20" t="s">
        <v>321</v>
      </c>
    </row>
    <row r="8" customFormat="false" ht="15" hidden="false" customHeight="false" outlineLevel="0" collapsed="false">
      <c r="A8" s="20" t="s">
        <v>313</v>
      </c>
      <c r="B8" s="20" t="n">
        <v>4</v>
      </c>
      <c r="C8" s="20" t="s">
        <v>322</v>
      </c>
      <c r="D8" s="20" t="s">
        <v>323</v>
      </c>
      <c r="E8" s="21" t="s">
        <v>324</v>
      </c>
    </row>
    <row r="9" customFormat="false" ht="15" hidden="false" customHeight="false" outlineLevel="0" collapsed="false">
      <c r="A9" s="20" t="s">
        <v>313</v>
      </c>
      <c r="B9" s="20" t="n">
        <v>5</v>
      </c>
      <c r="C9" s="20" t="s">
        <v>325</v>
      </c>
      <c r="D9" s="20" t="s">
        <v>326</v>
      </c>
      <c r="E9" s="21" t="s">
        <v>327</v>
      </c>
    </row>
    <row r="10" customFormat="false" ht="15" hidden="false" customHeight="false" outlineLevel="0" collapsed="false">
      <c r="A10" s="20" t="s">
        <v>313</v>
      </c>
      <c r="B10" s="20" t="n">
        <v>6</v>
      </c>
      <c r="C10" s="20" t="s">
        <v>328</v>
      </c>
      <c r="D10" s="21" t="s">
        <v>329</v>
      </c>
      <c r="E10" s="20" t="s">
        <v>321</v>
      </c>
    </row>
    <row r="11" customFormat="false" ht="15" hidden="false" customHeight="false" outlineLevel="0" collapsed="false">
      <c r="A11" s="20" t="s">
        <v>313</v>
      </c>
      <c r="B11" s="20" t="n">
        <v>7</v>
      </c>
      <c r="C11" s="20" t="s">
        <v>330</v>
      </c>
      <c r="D11" s="20" t="s">
        <v>331</v>
      </c>
      <c r="E11" s="21" t="s">
        <v>332</v>
      </c>
    </row>
    <row r="12" customFormat="false" ht="15" hidden="false" customHeight="false" outlineLevel="0" collapsed="false">
      <c r="A12" s="20" t="s">
        <v>313</v>
      </c>
      <c r="B12" s="20" t="n">
        <v>8</v>
      </c>
      <c r="C12" s="20" t="s">
        <v>333</v>
      </c>
      <c r="D12" s="20" t="s">
        <v>334</v>
      </c>
      <c r="E12" s="21" t="s">
        <v>324</v>
      </c>
    </row>
    <row r="13" customFormat="false" ht="15" hidden="false" customHeight="false" outlineLevel="0" collapsed="false">
      <c r="A13" s="20" t="s">
        <v>313</v>
      </c>
      <c r="B13" s="20" t="n">
        <v>9</v>
      </c>
      <c r="C13" s="21" t="s">
        <v>335</v>
      </c>
      <c r="D13" s="20" t="s">
        <v>336</v>
      </c>
      <c r="E13" s="21" t="s">
        <v>337</v>
      </c>
    </row>
    <row r="14" customFormat="false" ht="15" hidden="false" customHeight="false" outlineLevel="0" collapsed="false">
      <c r="A14" s="20" t="s">
        <v>313</v>
      </c>
      <c r="B14" s="20" t="n">
        <v>10</v>
      </c>
      <c r="C14" s="20" t="s">
        <v>338</v>
      </c>
      <c r="D14" s="20" t="s">
        <v>339</v>
      </c>
      <c r="E14" s="21" t="s">
        <v>340</v>
      </c>
    </row>
    <row r="15" customFormat="false" ht="15" hidden="false" customHeight="false" outlineLevel="0" collapsed="false">
      <c r="A15" s="20" t="s">
        <v>313</v>
      </c>
      <c r="B15" s="20" t="n">
        <v>11</v>
      </c>
      <c r="C15" s="20" t="s">
        <v>341</v>
      </c>
      <c r="D15" s="20" t="s">
        <v>342</v>
      </c>
      <c r="E15" s="21" t="s">
        <v>340</v>
      </c>
    </row>
    <row r="16" customFormat="false" ht="15" hidden="false" customHeight="false" outlineLevel="0" collapsed="false">
      <c r="A16" s="20" t="s">
        <v>313</v>
      </c>
      <c r="B16" s="20" t="n">
        <v>12</v>
      </c>
      <c r="C16" s="20" t="s">
        <v>343</v>
      </c>
      <c r="D16" s="20" t="s">
        <v>344</v>
      </c>
      <c r="E16" s="21" t="s">
        <v>345</v>
      </c>
    </row>
    <row r="17" customFormat="false" ht="15" hidden="false" customHeight="false" outlineLevel="0" collapsed="false">
      <c r="A17" s="20" t="s">
        <v>313</v>
      </c>
      <c r="B17" s="20" t="n">
        <v>13</v>
      </c>
      <c r="C17" s="21" t="s">
        <v>346</v>
      </c>
      <c r="D17" s="20" t="s">
        <v>347</v>
      </c>
      <c r="E17" s="21" t="s">
        <v>348</v>
      </c>
    </row>
    <row r="18" customFormat="false" ht="15" hidden="false" customHeight="false" outlineLevel="0" collapsed="false">
      <c r="A18" s="20" t="s">
        <v>313</v>
      </c>
      <c r="B18" s="20" t="n">
        <v>14</v>
      </c>
      <c r="C18" s="20" t="s">
        <v>349</v>
      </c>
      <c r="D18" s="20" t="s">
        <v>350</v>
      </c>
      <c r="E18" s="21" t="s">
        <v>351</v>
      </c>
    </row>
    <row r="19" customFormat="false" ht="15" hidden="false" customHeight="false" outlineLevel="0" collapsed="false">
      <c r="A19" s="20" t="s">
        <v>313</v>
      </c>
      <c r="B19" s="20" t="n">
        <v>15</v>
      </c>
      <c r="C19" s="20" t="s">
        <v>352</v>
      </c>
      <c r="D19" s="20" t="s">
        <v>353</v>
      </c>
      <c r="E19" s="21" t="s">
        <v>354</v>
      </c>
    </row>
    <row r="20" customFormat="false" ht="15" hidden="false" customHeight="false" outlineLevel="0" collapsed="false">
      <c r="A20" s="20" t="s">
        <v>313</v>
      </c>
      <c r="B20" s="20" t="n">
        <v>16</v>
      </c>
      <c r="C20" s="20" t="s">
        <v>355</v>
      </c>
      <c r="D20" s="20" t="s">
        <v>356</v>
      </c>
      <c r="E20" s="21" t="s">
        <v>102</v>
      </c>
    </row>
    <row r="21" customFormat="false" ht="15" hidden="false" customHeight="false" outlineLevel="0" collapsed="false">
      <c r="A21" s="20" t="s">
        <v>313</v>
      </c>
      <c r="B21" s="20" t="n">
        <v>17</v>
      </c>
      <c r="C21" s="20" t="s">
        <v>357</v>
      </c>
      <c r="D21" s="20" t="s">
        <v>358</v>
      </c>
      <c r="E21" s="21" t="s">
        <v>359</v>
      </c>
    </row>
    <row r="22" customFormat="false" ht="15" hidden="false" customHeight="false" outlineLevel="0" collapsed="false">
      <c r="A22" s="20" t="s">
        <v>313</v>
      </c>
      <c r="B22" s="20" t="n">
        <v>18</v>
      </c>
      <c r="C22" s="20" t="s">
        <v>360</v>
      </c>
      <c r="D22" s="20" t="s">
        <v>361</v>
      </c>
      <c r="E22" s="21" t="s">
        <v>362</v>
      </c>
    </row>
    <row r="23" customFormat="false" ht="15" hidden="false" customHeight="false" outlineLevel="0" collapsed="false">
      <c r="A23" s="20" t="s">
        <v>313</v>
      </c>
      <c r="B23" s="20" t="n">
        <v>19</v>
      </c>
      <c r="C23" s="20" t="s">
        <v>363</v>
      </c>
      <c r="D23" s="20" t="s">
        <v>364</v>
      </c>
      <c r="E23" s="21" t="s">
        <v>337</v>
      </c>
    </row>
    <row r="24" customFormat="false" ht="15" hidden="false" customHeight="false" outlineLevel="0" collapsed="false">
      <c r="A24" s="20" t="s">
        <v>313</v>
      </c>
      <c r="B24" s="20" t="n">
        <v>20</v>
      </c>
      <c r="C24" s="21" t="s">
        <v>365</v>
      </c>
      <c r="D24" s="20" t="s">
        <v>366</v>
      </c>
      <c r="E24" s="21" t="s">
        <v>367</v>
      </c>
    </row>
    <row r="25" customFormat="false" ht="15" hidden="false" customHeight="false" outlineLevel="0" collapsed="false">
      <c r="A25" s="20" t="s">
        <v>313</v>
      </c>
      <c r="B25" s="20" t="n">
        <v>21</v>
      </c>
      <c r="C25" s="20" t="s">
        <v>368</v>
      </c>
      <c r="D25" s="20" t="s">
        <v>369</v>
      </c>
      <c r="E25" s="21" t="s">
        <v>370</v>
      </c>
    </row>
    <row r="26" customFormat="false" ht="15" hidden="false" customHeight="false" outlineLevel="0" collapsed="false">
      <c r="A26" s="20" t="s">
        <v>313</v>
      </c>
      <c r="B26" s="20" t="n">
        <v>22</v>
      </c>
      <c r="C26" s="20" t="s">
        <v>371</v>
      </c>
      <c r="D26" s="21" t="s">
        <v>372</v>
      </c>
      <c r="E26" s="21" t="s">
        <v>373</v>
      </c>
    </row>
    <row r="27" customFormat="false" ht="15" hidden="false" customHeight="false" outlineLevel="0" collapsed="false">
      <c r="A27" s="20" t="s">
        <v>313</v>
      </c>
      <c r="B27" s="20" t="n">
        <v>23</v>
      </c>
      <c r="C27" s="20" t="s">
        <v>374</v>
      </c>
      <c r="D27" s="20" t="s">
        <v>375</v>
      </c>
      <c r="E27" s="21" t="s">
        <v>376</v>
      </c>
    </row>
    <row r="28" customFormat="false" ht="15" hidden="false" customHeight="false" outlineLevel="0" collapsed="false">
      <c r="A28" s="20" t="s">
        <v>313</v>
      </c>
      <c r="B28" s="20" t="n">
        <v>24</v>
      </c>
      <c r="C28" s="20" t="s">
        <v>377</v>
      </c>
      <c r="D28" s="21" t="s">
        <v>378</v>
      </c>
      <c r="E28" s="21" t="s">
        <v>379</v>
      </c>
    </row>
    <row r="29" customFormat="false" ht="15" hidden="false" customHeight="false" outlineLevel="0" collapsed="false">
      <c r="A29" s="20" t="s">
        <v>313</v>
      </c>
      <c r="B29" s="20" t="n">
        <v>25</v>
      </c>
      <c r="C29" s="20" t="s">
        <v>380</v>
      </c>
      <c r="D29" s="20" t="s">
        <v>381</v>
      </c>
      <c r="E29" s="21" t="s">
        <v>382</v>
      </c>
    </row>
    <row r="30" customFormat="false" ht="15" hidden="false" customHeight="false" outlineLevel="0" collapsed="false">
      <c r="A30" s="20" t="s">
        <v>313</v>
      </c>
      <c r="B30" s="20" t="n">
        <v>26</v>
      </c>
      <c r="C30" s="20" t="s">
        <v>383</v>
      </c>
      <c r="D30" s="20" t="s">
        <v>384</v>
      </c>
      <c r="E30" s="21" t="s">
        <v>124</v>
      </c>
    </row>
    <row r="31" customFormat="false" ht="15" hidden="false" customHeight="false" outlineLevel="0" collapsed="false">
      <c r="A31" s="22" t="s">
        <v>385</v>
      </c>
      <c r="B31" s="22" t="n">
        <v>1</v>
      </c>
      <c r="C31" s="22" t="s">
        <v>386</v>
      </c>
      <c r="D31" s="22" t="s">
        <v>387</v>
      </c>
      <c r="E31" s="23" t="s">
        <v>117</v>
      </c>
    </row>
    <row r="32" customFormat="false" ht="15" hidden="false" customHeight="false" outlineLevel="0" collapsed="false">
      <c r="A32" s="22" t="s">
        <v>385</v>
      </c>
      <c r="B32" s="22" t="n">
        <v>2</v>
      </c>
      <c r="C32" s="22" t="s">
        <v>388</v>
      </c>
      <c r="D32" s="22" t="s">
        <v>389</v>
      </c>
      <c r="E32" s="23" t="s">
        <v>390</v>
      </c>
    </row>
    <row r="33" customFormat="false" ht="15" hidden="false" customHeight="false" outlineLevel="0" collapsed="false">
      <c r="A33" s="22" t="s">
        <v>385</v>
      </c>
      <c r="B33" s="22" t="n">
        <v>3</v>
      </c>
      <c r="C33" s="22" t="s">
        <v>391</v>
      </c>
      <c r="D33" s="22" t="s">
        <v>392</v>
      </c>
      <c r="E33" s="23" t="s">
        <v>106</v>
      </c>
    </row>
    <row r="34" customFormat="false" ht="15" hidden="false" customHeight="false" outlineLevel="0" collapsed="false">
      <c r="A34" s="22" t="s">
        <v>385</v>
      </c>
      <c r="B34" s="22" t="n">
        <v>4</v>
      </c>
      <c r="C34" s="22" t="s">
        <v>393</v>
      </c>
      <c r="D34" s="22" t="s">
        <v>394</v>
      </c>
      <c r="E34" s="23" t="s">
        <v>110</v>
      </c>
    </row>
    <row r="35" customFormat="false" ht="15" hidden="false" customHeight="false" outlineLevel="0" collapsed="false">
      <c r="A35" s="22" t="s">
        <v>385</v>
      </c>
      <c r="B35" s="22" t="n">
        <v>5</v>
      </c>
      <c r="C35" s="22" t="s">
        <v>395</v>
      </c>
      <c r="D35" s="23" t="s">
        <v>396</v>
      </c>
      <c r="E35" s="23" t="s">
        <v>88</v>
      </c>
    </row>
    <row r="36" customFormat="false" ht="15" hidden="false" customHeight="false" outlineLevel="0" collapsed="false">
      <c r="A36" s="22" t="s">
        <v>385</v>
      </c>
      <c r="B36" s="22" t="n">
        <v>6</v>
      </c>
      <c r="C36" s="22" t="s">
        <v>397</v>
      </c>
      <c r="D36" s="22" t="s">
        <v>398</v>
      </c>
      <c r="E36" s="23" t="s">
        <v>390</v>
      </c>
    </row>
    <row r="37" customFormat="false" ht="15" hidden="false" customHeight="false" outlineLevel="0" collapsed="false">
      <c r="A37" s="22" t="s">
        <v>385</v>
      </c>
      <c r="B37" s="22" t="n">
        <v>7</v>
      </c>
      <c r="C37" s="22" t="s">
        <v>399</v>
      </c>
      <c r="D37" s="22" t="s">
        <v>400</v>
      </c>
      <c r="E37" s="23" t="s">
        <v>106</v>
      </c>
    </row>
    <row r="38" customFormat="false" ht="15" hidden="false" customHeight="false" outlineLevel="0" collapsed="false">
      <c r="A38" s="22" t="s">
        <v>385</v>
      </c>
      <c r="B38" s="22" t="n">
        <v>8</v>
      </c>
      <c r="C38" s="22" t="s">
        <v>401</v>
      </c>
      <c r="D38" s="22" t="s">
        <v>402</v>
      </c>
      <c r="E38" s="23" t="s">
        <v>403</v>
      </c>
    </row>
    <row r="39" customFormat="false" ht="15" hidden="false" customHeight="false" outlineLevel="0" collapsed="false">
      <c r="A39" s="22" t="s">
        <v>385</v>
      </c>
      <c r="B39" s="22" t="n">
        <v>9</v>
      </c>
      <c r="C39" s="22" t="s">
        <v>404</v>
      </c>
      <c r="D39" s="22" t="s">
        <v>405</v>
      </c>
      <c r="E39" s="23" t="s">
        <v>92</v>
      </c>
    </row>
    <row r="40" customFormat="false" ht="15" hidden="false" customHeight="false" outlineLevel="0" collapsed="false">
      <c r="A40" s="22" t="s">
        <v>385</v>
      </c>
      <c r="B40" s="22" t="n">
        <v>10</v>
      </c>
      <c r="C40" s="22" t="s">
        <v>406</v>
      </c>
      <c r="D40" s="22" t="s">
        <v>407</v>
      </c>
      <c r="E40" s="23" t="s">
        <v>92</v>
      </c>
    </row>
    <row r="41" customFormat="false" ht="15" hidden="false" customHeight="false" outlineLevel="0" collapsed="false">
      <c r="A41" s="22" t="s">
        <v>385</v>
      </c>
      <c r="B41" s="22" t="n">
        <v>11</v>
      </c>
      <c r="C41" s="22" t="s">
        <v>408</v>
      </c>
      <c r="D41" s="22" t="s">
        <v>409</v>
      </c>
      <c r="E41" s="23" t="s">
        <v>106</v>
      </c>
    </row>
    <row r="42" customFormat="false" ht="15" hidden="false" customHeight="false" outlineLevel="0" collapsed="false">
      <c r="A42" s="22" t="s">
        <v>385</v>
      </c>
      <c r="B42" s="22" t="n">
        <v>12</v>
      </c>
      <c r="C42" s="22" t="s">
        <v>410</v>
      </c>
      <c r="D42" s="22" t="s">
        <v>411</v>
      </c>
      <c r="E42" s="23" t="s">
        <v>102</v>
      </c>
    </row>
    <row r="43" customFormat="false" ht="15" hidden="false" customHeight="false" outlineLevel="0" collapsed="false">
      <c r="A43" s="22" t="s">
        <v>385</v>
      </c>
      <c r="B43" s="22" t="n">
        <v>13</v>
      </c>
      <c r="C43" s="22" t="s">
        <v>412</v>
      </c>
      <c r="D43" s="22" t="s">
        <v>413</v>
      </c>
      <c r="E43" s="23" t="s">
        <v>110</v>
      </c>
    </row>
    <row r="44" customFormat="false" ht="15" hidden="false" customHeight="false" outlineLevel="0" collapsed="false">
      <c r="A44" s="22" t="s">
        <v>385</v>
      </c>
      <c r="B44" s="22" t="n">
        <v>14</v>
      </c>
      <c r="C44" s="22" t="s">
        <v>414</v>
      </c>
      <c r="D44" s="22" t="s">
        <v>415</v>
      </c>
      <c r="E44" s="23" t="s">
        <v>117</v>
      </c>
    </row>
    <row r="45" customFormat="false" ht="15" hidden="false" customHeight="false" outlineLevel="0" collapsed="false">
      <c r="A45" s="22" t="s">
        <v>385</v>
      </c>
      <c r="B45" s="22" t="n">
        <v>15</v>
      </c>
      <c r="C45" s="22" t="s">
        <v>416</v>
      </c>
      <c r="D45" s="22" t="s">
        <v>417</v>
      </c>
      <c r="E45" s="23" t="s">
        <v>418</v>
      </c>
    </row>
    <row r="46" customFormat="false" ht="15" hidden="false" customHeight="false" outlineLevel="0" collapsed="false">
      <c r="A46" s="22" t="s">
        <v>385</v>
      </c>
      <c r="B46" s="22" t="n">
        <v>16</v>
      </c>
      <c r="C46" s="22" t="s">
        <v>419</v>
      </c>
      <c r="D46" s="22" t="s">
        <v>420</v>
      </c>
      <c r="E46" s="23" t="s">
        <v>403</v>
      </c>
    </row>
    <row r="47" customFormat="false" ht="15" hidden="false" customHeight="false" outlineLevel="0" collapsed="false">
      <c r="A47" s="22" t="s">
        <v>385</v>
      </c>
      <c r="B47" s="22" t="n">
        <v>17</v>
      </c>
      <c r="C47" s="22" t="s">
        <v>421</v>
      </c>
      <c r="D47" s="22" t="s">
        <v>422</v>
      </c>
      <c r="E47" s="23" t="s">
        <v>390</v>
      </c>
    </row>
    <row r="48" customFormat="false" ht="15" hidden="false" customHeight="false" outlineLevel="0" collapsed="false">
      <c r="A48" s="22" t="s">
        <v>385</v>
      </c>
      <c r="B48" s="22" t="n">
        <v>18</v>
      </c>
      <c r="C48" s="22" t="s">
        <v>423</v>
      </c>
      <c r="D48" s="22" t="s">
        <v>424</v>
      </c>
      <c r="E48" s="23" t="s">
        <v>354</v>
      </c>
    </row>
    <row r="49" customFormat="false" ht="15" hidden="false" customHeight="false" outlineLevel="0" collapsed="false">
      <c r="A49" s="22" t="s">
        <v>385</v>
      </c>
      <c r="B49" s="22" t="n">
        <v>19</v>
      </c>
      <c r="C49" s="22" t="s">
        <v>425</v>
      </c>
      <c r="D49" s="22" t="s">
        <v>426</v>
      </c>
      <c r="E49" s="23" t="s">
        <v>427</v>
      </c>
    </row>
    <row r="50" customFormat="false" ht="15" hidden="false" customHeight="false" outlineLevel="0" collapsed="false">
      <c r="A50" s="22" t="s">
        <v>385</v>
      </c>
      <c r="B50" s="22" t="n">
        <v>20</v>
      </c>
      <c r="C50" s="22" t="s">
        <v>428</v>
      </c>
      <c r="D50" s="22" t="s">
        <v>429</v>
      </c>
      <c r="E50" s="23" t="s">
        <v>430</v>
      </c>
    </row>
    <row r="51" customFormat="false" ht="15" hidden="false" customHeight="false" outlineLevel="0" collapsed="false">
      <c r="A51" s="24"/>
      <c r="B51" s="24"/>
      <c r="C51" s="24"/>
      <c r="D51" s="24"/>
      <c r="E51" s="24"/>
    </row>
    <row r="52" customFormat="false" ht="15" hidden="false" customHeight="false" outlineLevel="0" collapsed="false">
      <c r="A52" s="24"/>
      <c r="B52" s="24"/>
      <c r="C52" s="24"/>
      <c r="D52" s="24"/>
      <c r="E52" s="24"/>
    </row>
    <row r="53" customFormat="false" ht="15" hidden="false" customHeight="false" outlineLevel="0" collapsed="false">
      <c r="A53" s="24"/>
      <c r="B53" s="24"/>
      <c r="C53" s="24"/>
      <c r="D53" s="24"/>
      <c r="E53" s="24"/>
    </row>
    <row r="54" customFormat="false" ht="15" hidden="false" customHeight="false" outlineLevel="0" collapsed="false">
      <c r="A54" s="24"/>
      <c r="B54" s="24"/>
      <c r="C54" s="24"/>
      <c r="D54" s="24"/>
      <c r="E54" s="24"/>
    </row>
    <row r="55" customFormat="false" ht="15" hidden="false" customHeight="false" outlineLevel="0" collapsed="false">
      <c r="A55" s="24"/>
      <c r="B55" s="24"/>
      <c r="C55" s="24"/>
      <c r="D55" s="24"/>
      <c r="E55" s="24"/>
    </row>
    <row r="56" customFormat="false" ht="15" hidden="false" customHeight="false" outlineLevel="0" collapsed="false">
      <c r="A56" s="2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0" ySplit="5" topLeftCell="K6" activePane="bottomRight" state="frozen"/>
      <selection pane="topLeft" activeCell="A1" activeCellId="0" sqref="A1"/>
      <selection pane="topRight" activeCell="K1" activeCellId="0" sqref="K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10" min="9" style="0" width="26"/>
    <col collapsed="false" customWidth="true" hidden="false" outlineLevel="0" max="13" min="11" style="0" width="30"/>
    <col collapsed="false" customWidth="true" hidden="false" outlineLevel="0" max="14" min="14" style="0" width="8"/>
    <col collapsed="false" customWidth="true" hidden="false" outlineLevel="0" max="15" min="15" style="0" width="44"/>
    <col collapsed="false" customWidth="true" hidden="false" outlineLevel="0" max="16" min="16" style="0" width="48"/>
    <col collapsed="false" customWidth="true" hidden="false" outlineLevel="0" max="17" min="17" style="0" width="8"/>
    <col collapsed="false" customWidth="true" hidden="false" outlineLevel="0" max="18" min="18" style="0" width="48"/>
    <col collapsed="false" customWidth="true" hidden="false" outlineLevel="0" max="19" min="19" style="0" width="8"/>
    <col collapsed="false" customWidth="true" hidden="false" outlineLevel="0" max="20" min="20" style="0" width="24"/>
    <col collapsed="false" customWidth="true" hidden="false" outlineLevel="0" max="21" min="21" style="0" width="16"/>
    <col collapsed="false" customWidth="true" hidden="false" outlineLevel="0" max="22" min="22" style="0" width="9"/>
  </cols>
  <sheetData>
    <row r="1" customFormat="false" ht="19.4" hidden="false" customHeight="false" outlineLevel="0" collapsed="false">
      <c r="A1" s="1" t="s">
        <v>432</v>
      </c>
    </row>
    <row r="2" customFormat="false" ht="15" hidden="false" customHeight="false" outlineLevel="0" collapsed="false">
      <c r="A2" s="25" t="s">
        <v>433</v>
      </c>
      <c r="B2" s="26" t="n">
        <v>46307</v>
      </c>
      <c r="C2" s="27" t="s">
        <v>434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customFormat="false" ht="15" hidden="false" customHeight="false" outlineLevel="0" collapsed="false">
      <c r="C3" s="27" t="s">
        <v>435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5" customFormat="false" ht="36" hidden="false" customHeight="true" outlineLevel="0" collapsed="false">
      <c r="A5" s="13" t="s">
        <v>436</v>
      </c>
      <c r="B5" s="12" t="s">
        <v>437</v>
      </c>
      <c r="C5" s="12" t="s">
        <v>438</v>
      </c>
      <c r="D5" s="12" t="s">
        <v>439</v>
      </c>
      <c r="E5" s="12" t="s">
        <v>440</v>
      </c>
      <c r="F5" s="12" t="s">
        <v>441</v>
      </c>
      <c r="G5" s="12" t="s">
        <v>442</v>
      </c>
      <c r="H5" s="12" t="s">
        <v>443</v>
      </c>
      <c r="I5" s="12" t="s">
        <v>444</v>
      </c>
      <c r="J5" s="12" t="s">
        <v>445</v>
      </c>
      <c r="K5" s="12" t="s">
        <v>446</v>
      </c>
      <c r="L5" s="12" t="s">
        <v>447</v>
      </c>
      <c r="M5" s="12" t="s">
        <v>448</v>
      </c>
      <c r="N5" s="12" t="s">
        <v>449</v>
      </c>
      <c r="O5" s="12" t="s">
        <v>450</v>
      </c>
      <c r="P5" s="13" t="s">
        <v>451</v>
      </c>
      <c r="Q5" s="13" t="s">
        <v>452</v>
      </c>
      <c r="R5" s="12" t="s">
        <v>453</v>
      </c>
      <c r="S5" s="12" t="s">
        <v>454</v>
      </c>
      <c r="T5" s="12" t="s">
        <v>455</v>
      </c>
      <c r="U5" s="12" t="s">
        <v>456</v>
      </c>
      <c r="V5" s="12" t="s">
        <v>457</v>
      </c>
    </row>
    <row r="6" customFormat="false" ht="330" hidden="false" customHeight="true" outlineLevel="0" collapsed="false">
      <c r="A6" s="28" t="n">
        <v>1</v>
      </c>
      <c r="B6" s="29" t="n">
        <f aca="false">$B$2+A6-1</f>
        <v>46307</v>
      </c>
      <c r="C6" s="28" t="str">
        <f aca="false">CHOOSE(WEEKDAY(B6),"日","月","火","水","木","金","土")</f>
        <v>月</v>
      </c>
      <c r="D6" s="30" t="s">
        <v>458</v>
      </c>
      <c r="E6" s="8" t="s">
        <v>459</v>
      </c>
      <c r="F6" s="28" t="s">
        <v>240</v>
      </c>
      <c r="G6" s="6" t="s">
        <v>241</v>
      </c>
      <c r="H6" s="6" t="s">
        <v>460</v>
      </c>
      <c r="I6" s="6" t="s">
        <v>461</v>
      </c>
      <c r="J6" s="8" t="s">
        <v>462</v>
      </c>
      <c r="K6" s="6" t="s">
        <v>463</v>
      </c>
      <c r="L6" s="6" t="s">
        <v>464</v>
      </c>
      <c r="M6" s="6" t="s">
        <v>465</v>
      </c>
      <c r="N6" s="31" t="n">
        <v>1</v>
      </c>
      <c r="O6" s="6" t="s">
        <v>466</v>
      </c>
      <c r="P6" s="6" t="str">
        <f aca="false">CHOOSE(N6,K6,L6,M6)&amp;CHAR(10)&amp;CHAR(10)&amp;O6</f>
        <v>副業と独立に、合計約800万円使いました。
それでも60代の今、まだ脱サラできていません。
ブログは2年。朝早く起きて、夜は1時まで書きました。
アフィリエイト、メルマガ、eBay輸出、カメラ転売。
清掃業で独立して、廃業したこともあります。
「次こそは」と申し込みボタンを押すたびに、
妻の顔が浮かびました。
でも、うまくいかなかった原因は
才能でも、年齢でもなかった。
「自分に合うか」を確かめる前に、
お金を払っていたことです。
（続きはツリーへ👇）</v>
      </c>
      <c r="Q6" s="32" t="n">
        <f aca="false">LEN(P6)</f>
        <v>233</v>
      </c>
      <c r="R6" s="6" t="s">
        <v>467</v>
      </c>
      <c r="S6" s="32" t="n">
        <f aca="false">LEN(R6)</f>
        <v>241</v>
      </c>
      <c r="T6" s="6" t="s">
        <v>468</v>
      </c>
      <c r="U6" s="6" t="s">
        <v>469</v>
      </c>
      <c r="V6" s="28" t="str">
        <f aca="false">IF(OR(C6="土",C6="日"),"7:30","20:30")</f>
        <v>20:30</v>
      </c>
    </row>
    <row r="7" customFormat="false" ht="330" hidden="false" customHeight="true" outlineLevel="0" collapsed="false">
      <c r="A7" s="28" t="n">
        <v>2</v>
      </c>
      <c r="B7" s="29" t="n">
        <f aca="false">$B$2+A7-1</f>
        <v>46308</v>
      </c>
      <c r="C7" s="28" t="str">
        <f aca="false">CHOOSE(WEEKDAY(B7),"日","月","火","水","木","金","土")</f>
        <v>火</v>
      </c>
      <c r="D7" s="30" t="s">
        <v>458</v>
      </c>
      <c r="E7" s="8" t="s">
        <v>459</v>
      </c>
      <c r="F7" s="28" t="s">
        <v>261</v>
      </c>
      <c r="G7" s="6" t="s">
        <v>262</v>
      </c>
      <c r="H7" s="8" t="s">
        <v>470</v>
      </c>
      <c r="I7" s="6" t="s">
        <v>471</v>
      </c>
      <c r="J7" s="8" t="s">
        <v>472</v>
      </c>
      <c r="K7" s="6" t="s">
        <v>473</v>
      </c>
      <c r="L7" s="8" t="s">
        <v>474</v>
      </c>
      <c r="M7" s="6" t="s">
        <v>475</v>
      </c>
      <c r="N7" s="31" t="n">
        <v>2</v>
      </c>
      <c r="O7" s="6" t="s">
        <v>476</v>
      </c>
      <c r="P7" s="6" t="str">
        <f aca="false">CHOOSE(N7,K7,L7,M7)&amp;CHAR(10)&amp;CHAR(10)&amp;O7</f>
        <v>60代がパソコンを苦手なのは、才能のせいではありません。
誰にも「打ち方」を教わっていないだけです。
「しゃ」「きょ」が打てない。
「@」がどこにあるか分からない。
家族に聞くのも、なんだか気まずい。
僕もそうでした。
小さい文字を1つずつ検索して、やっと覚えました。
できなかった理由は単純です。
学校でも会社でも、誰も教えてくれなかった。
苦手なんじゃなくて「知らなかった」だけなんです。
（今日から使える方法はツリーへ👇）</v>
      </c>
      <c r="Q7" s="32" t="n">
        <f aca="false">LEN(P7)</f>
        <v>218</v>
      </c>
      <c r="R7" s="8" t="s">
        <v>477</v>
      </c>
      <c r="S7" s="32" t="n">
        <f aca="false">LEN(R7)</f>
        <v>239</v>
      </c>
      <c r="T7" s="6" t="s">
        <v>478</v>
      </c>
      <c r="U7" s="6" t="s">
        <v>479</v>
      </c>
      <c r="V7" s="28" t="str">
        <f aca="false">IF(OR(C7="土",C7="日"),"7:30","20:30")</f>
        <v>20:30</v>
      </c>
    </row>
    <row r="8" customFormat="false" ht="330" hidden="false" customHeight="true" outlineLevel="0" collapsed="false">
      <c r="A8" s="28" t="n">
        <v>3</v>
      </c>
      <c r="B8" s="29" t="n">
        <f aca="false">$B$2+A8-1</f>
        <v>46309</v>
      </c>
      <c r="C8" s="28" t="str">
        <f aca="false">CHOOSE(WEEKDAY(B8),"日","月","火","水","木","金","土")</f>
        <v>水</v>
      </c>
      <c r="D8" s="33" t="s">
        <v>480</v>
      </c>
      <c r="E8" s="8" t="s">
        <v>459</v>
      </c>
      <c r="F8" s="28" t="s">
        <v>254</v>
      </c>
      <c r="G8" s="6" t="s">
        <v>255</v>
      </c>
      <c r="H8" s="6" t="s">
        <v>481</v>
      </c>
      <c r="I8" s="6" t="s">
        <v>482</v>
      </c>
      <c r="J8" s="8" t="s">
        <v>483</v>
      </c>
      <c r="K8" s="6" t="s">
        <v>484</v>
      </c>
      <c r="L8" s="8" t="s">
        <v>485</v>
      </c>
      <c r="M8" s="6" t="s">
        <v>486</v>
      </c>
      <c r="N8" s="31" t="n">
        <v>1</v>
      </c>
      <c r="O8" s="6" t="s">
        <v>487</v>
      </c>
      <c r="P8" s="6" t="str">
        <f aca="false">CHOOSE(N8,K8,L8,M8)&amp;CHAR(10)&amp;CHAR(10)&amp;O8</f>
        <v>年齢を理由に断られた会社、8社。
体は、まだちゃんと動くのに。
仕事がない2ヶ月間。
面接に行っては、断られて帰る日々でした。
悔しかった。
「なんで、体は動くのに」と何度も思いました。
でも、言い訳だけはしたくなかった。
言い訳をするくらいなら、別の方法を考える。
だから決めました。
会社だけに、人生を預けるのはやめる。
今は派遣で働きながら、
AIとThreadsで、もう一度挑戦しています。
年齢を理由に、何かを諦めかけたことはありますか？</v>
      </c>
      <c r="Q8" s="32" t="n">
        <f aca="false">LEN(P8)</f>
        <v>230</v>
      </c>
      <c r="R8" s="6" t="s">
        <v>488</v>
      </c>
      <c r="S8" s="32" t="n">
        <f aca="false">LEN(R8)</f>
        <v>168</v>
      </c>
      <c r="T8" s="6" t="s">
        <v>489</v>
      </c>
      <c r="U8" s="6" t="s">
        <v>490</v>
      </c>
      <c r="V8" s="28" t="str">
        <f aca="false">IF(OR(C8="土",C8="日"),"7:30","20:30")</f>
        <v>20:30</v>
      </c>
    </row>
    <row r="9" customFormat="false" ht="330" hidden="false" customHeight="true" outlineLevel="0" collapsed="false">
      <c r="A9" s="28" t="n">
        <v>4</v>
      </c>
      <c r="B9" s="29" t="n">
        <f aca="false">$B$2+A9-1</f>
        <v>46310</v>
      </c>
      <c r="C9" s="28" t="str">
        <f aca="false">CHOOSE(WEEKDAY(B9),"日","月","火","水","木","金","土")</f>
        <v>木</v>
      </c>
      <c r="D9" s="30" t="s">
        <v>458</v>
      </c>
      <c r="E9" s="8" t="s">
        <v>459</v>
      </c>
      <c r="F9" s="28" t="s">
        <v>247</v>
      </c>
      <c r="G9" s="6" t="s">
        <v>248</v>
      </c>
      <c r="H9" s="8" t="s">
        <v>491</v>
      </c>
      <c r="I9" s="8" t="s">
        <v>492</v>
      </c>
      <c r="J9" s="8" t="s">
        <v>493</v>
      </c>
      <c r="K9" s="8" t="s">
        <v>494</v>
      </c>
      <c r="L9" s="8" t="s">
        <v>495</v>
      </c>
      <c r="M9" s="8" t="s">
        <v>496</v>
      </c>
      <c r="N9" s="31" t="n">
        <v>1</v>
      </c>
      <c r="O9" s="6" t="s">
        <v>497</v>
      </c>
      <c r="P9" s="6" t="str">
        <f aca="false">CHOOSE(N9,K9,L9,M9)&amp;CHAR(10)&amp;CHAR(10)&amp;O9</f>
        <v>AI初心者がChatGPTに最初にしてはいけない質問。
「稼げる副業を教えて」。
同じ理由で、避けたい質問はこちら。
・おすすめの副業は？
・簡単に稼ぐ方法は？
・ブログの書き方を教えて
どれも、誰が聞いても同じ答えが返ってきます。
あなたの年齢も、時間も、苦手も、AIは知らないから。
では、最初に何を聞けばいいのか。</v>
      </c>
      <c r="Q9" s="32" t="n">
        <f aca="false">LEN(P9)</f>
        <v>164</v>
      </c>
      <c r="R9" s="6" t="s">
        <v>498</v>
      </c>
      <c r="S9" s="32" t="n">
        <f aca="false">LEN(R9)</f>
        <v>214</v>
      </c>
      <c r="T9" s="8" t="s">
        <v>499</v>
      </c>
      <c r="U9" s="6" t="s">
        <v>500</v>
      </c>
      <c r="V9" s="28" t="str">
        <f aca="false">IF(OR(C9="土",C9="日"),"7:30","20:30")</f>
        <v>20:30</v>
      </c>
    </row>
    <row r="10" customFormat="false" ht="330" hidden="false" customHeight="true" outlineLevel="0" collapsed="false">
      <c r="A10" s="28" t="n">
        <v>5</v>
      </c>
      <c r="B10" s="29" t="n">
        <f aca="false">$B$2+A10-1</f>
        <v>46311</v>
      </c>
      <c r="C10" s="28" t="str">
        <f aca="false">CHOOSE(WEEKDAY(B10),"日","月","火","水","木","金","土")</f>
        <v>金</v>
      </c>
      <c r="D10" s="30" t="s">
        <v>458</v>
      </c>
      <c r="E10" s="8" t="s">
        <v>459</v>
      </c>
      <c r="F10" s="28" t="s">
        <v>240</v>
      </c>
      <c r="G10" s="6" t="s">
        <v>241</v>
      </c>
      <c r="H10" s="6" t="s">
        <v>501</v>
      </c>
      <c r="I10" s="6" t="s">
        <v>502</v>
      </c>
      <c r="J10" s="8" t="s">
        <v>503</v>
      </c>
      <c r="K10" s="6" t="s">
        <v>504</v>
      </c>
      <c r="L10" s="6" t="s">
        <v>505</v>
      </c>
      <c r="M10" s="6" t="s">
        <v>506</v>
      </c>
      <c r="N10" s="31" t="n">
        <v>1</v>
      </c>
      <c r="O10" s="6" t="s">
        <v>507</v>
      </c>
      <c r="P10" s="6" t="str">
        <f aca="false">CHOOSE(N10,K10,L10,M10)&amp;CHAR(10)&amp;CHAR(10)&amp;O10</f>
        <v>コンサルを6件受けて分かりました。
高額講座で稼げるかどうかは「申し込む前」にほぼ決まっています。
夜中にセミナー動画を見て、
「この人についていけば変われるかも」と胸が熱くなる。
気づけば、カード番号を入力している。
僕は、これを何度も繰り返しました。
でも、講座が悪かったとは思っていません。
実際に、同じ講座で成果を出した人もいました。
合っていなかったのは、
講座の中身と「僕の時間と苦手」でした。
（申し込む前のチェックはツリーへ👇）</v>
      </c>
      <c r="Q10" s="32" t="n">
        <f aca="false">LEN(P10)</f>
        <v>227</v>
      </c>
      <c r="R10" s="8" t="s">
        <v>508</v>
      </c>
      <c r="S10" s="32" t="n">
        <f aca="false">LEN(R10)</f>
        <v>186</v>
      </c>
      <c r="T10" s="6" t="s">
        <v>509</v>
      </c>
      <c r="U10" s="6" t="s">
        <v>510</v>
      </c>
      <c r="V10" s="28" t="str">
        <f aca="false">IF(OR(C10="土",C10="日"),"7:30","20:30")</f>
        <v>20:30</v>
      </c>
    </row>
    <row r="11" customFormat="false" ht="330" hidden="false" customHeight="true" outlineLevel="0" collapsed="false">
      <c r="A11" s="28" t="n">
        <v>6</v>
      </c>
      <c r="B11" s="29" t="n">
        <f aca="false">$B$2+A11-1</f>
        <v>46312</v>
      </c>
      <c r="C11" s="28" t="str">
        <f aca="false">CHOOSE(WEEKDAY(B11),"日","月","火","水","木","金","土")</f>
        <v>土</v>
      </c>
      <c r="D11" s="30" t="s">
        <v>458</v>
      </c>
      <c r="E11" s="8" t="s">
        <v>459</v>
      </c>
      <c r="F11" s="28" t="s">
        <v>261</v>
      </c>
      <c r="G11" s="6" t="s">
        <v>262</v>
      </c>
      <c r="H11" s="6" t="s">
        <v>511</v>
      </c>
      <c r="I11" s="8" t="s">
        <v>512</v>
      </c>
      <c r="J11" s="8" t="s">
        <v>513</v>
      </c>
      <c r="K11" s="8" t="s">
        <v>514</v>
      </c>
      <c r="L11" s="6" t="s">
        <v>515</v>
      </c>
      <c r="M11" s="6" t="s">
        <v>516</v>
      </c>
      <c r="N11" s="31" t="n">
        <v>2</v>
      </c>
      <c r="O11" s="6" t="s">
        <v>517</v>
      </c>
      <c r="P11" s="6" t="str">
        <f aca="false">CHOOSE(N11,K11,L11,M11)&amp;CHAR(10)&amp;CHAR(10)&amp;O11</f>
        <v>「発信するネタがない」という60代ほど、
実はネタを一番持っています。
「若い人みたいに、おしゃれな話はできない」
「人に教えられることなんて、何もない」
スマホを開いても、何を書けばいいか分からない。
でも、60年分の毎日の中に、ネタは全部あります。
転職、子育て、介護、失敗した副業。
同じ悩みを持つ人にとって、
それは教科書より役に立つ「本物の体験」です。
（ネタの掘り出し方はツリーへ👇）</v>
      </c>
      <c r="Q11" s="32" t="n">
        <f aca="false">LEN(P11)</f>
        <v>203</v>
      </c>
      <c r="R11" s="6" t="s">
        <v>518</v>
      </c>
      <c r="S11" s="32" t="n">
        <f aca="false">LEN(R11)</f>
        <v>195</v>
      </c>
      <c r="T11" s="6" t="s">
        <v>519</v>
      </c>
      <c r="U11" s="6" t="s">
        <v>520</v>
      </c>
      <c r="V11" s="28" t="str">
        <f aca="false">IF(OR(C11="土",C11="日"),"7:30","20:30")</f>
        <v>7:30</v>
      </c>
    </row>
    <row r="12" customFormat="false" ht="330" hidden="false" customHeight="true" outlineLevel="0" collapsed="false">
      <c r="A12" s="28" t="n">
        <v>7</v>
      </c>
      <c r="B12" s="29" t="n">
        <f aca="false">$B$2+A12-1</f>
        <v>46313</v>
      </c>
      <c r="C12" s="28" t="str">
        <f aca="false">CHOOSE(WEEKDAY(B12),"日","月","火","水","木","金","土")</f>
        <v>日</v>
      </c>
      <c r="D12" s="30" t="s">
        <v>458</v>
      </c>
      <c r="E12" s="8" t="s">
        <v>459</v>
      </c>
      <c r="F12" s="28" t="s">
        <v>268</v>
      </c>
      <c r="G12" s="6" t="s">
        <v>269</v>
      </c>
      <c r="H12" s="6" t="s">
        <v>521</v>
      </c>
      <c r="I12" s="6" t="s">
        <v>522</v>
      </c>
      <c r="J12" s="8" t="s">
        <v>523</v>
      </c>
      <c r="K12" s="6" t="s">
        <v>524</v>
      </c>
      <c r="L12" s="6" t="s">
        <v>525</v>
      </c>
      <c r="M12" s="6" t="s">
        <v>526</v>
      </c>
      <c r="N12" s="31" t="n">
        <v>1</v>
      </c>
      <c r="O12" s="6" t="s">
        <v>527</v>
      </c>
      <c r="P12" s="6" t="str">
        <f aca="false">CHOOSE(N12,K12,L12,M12)&amp;CHAR(10)&amp;CHAR(10)&amp;O12</f>
        <v>副業、何回やめましたか？
僕は、途中で数えるのをやめました。
ブログ、アフィリエイト、メルマガ。
eBay輸出、カメラ転売。
2〜3ヶ月でやめてしまったものもあります。
やめるたびに「また続かなかった」と落ち込んで、
しばらくして、また次を探していました。
これって、僕だけですか？
あなたが挫折した副業、コメントで教えてください。
全部読みます。</v>
      </c>
      <c r="Q12" s="32" t="n">
        <f aca="false">LEN(P12)</f>
        <v>179</v>
      </c>
      <c r="R12" s="6" t="s">
        <v>528</v>
      </c>
      <c r="S12" s="32" t="n">
        <f aca="false">LEN(R12)</f>
        <v>120</v>
      </c>
      <c r="T12" s="6" t="s">
        <v>529</v>
      </c>
      <c r="U12" s="6" t="s">
        <v>530</v>
      </c>
      <c r="V12" s="28" t="str">
        <f aca="false">IF(OR(C12="土",C12="日"),"7:30","20:30")</f>
        <v>7:30</v>
      </c>
    </row>
    <row r="13" customFormat="false" ht="330" hidden="false" customHeight="true" outlineLevel="0" collapsed="false">
      <c r="A13" s="28" t="n">
        <v>8</v>
      </c>
      <c r="B13" s="29" t="n">
        <f aca="false">$B$2+A13-1</f>
        <v>46314</v>
      </c>
      <c r="C13" s="28" t="str">
        <f aca="false">CHOOSE(WEEKDAY(B13),"日","月","火","水","木","金","土")</f>
        <v>月</v>
      </c>
      <c r="D13" s="33" t="s">
        <v>480</v>
      </c>
      <c r="E13" s="8" t="s">
        <v>531</v>
      </c>
      <c r="F13" s="28" t="s">
        <v>240</v>
      </c>
      <c r="G13" s="6" t="s">
        <v>241</v>
      </c>
      <c r="H13" s="6" t="s">
        <v>388</v>
      </c>
      <c r="I13" s="6" t="s">
        <v>532</v>
      </c>
      <c r="J13" s="8" t="s">
        <v>533</v>
      </c>
      <c r="K13" s="6" t="s">
        <v>534</v>
      </c>
      <c r="L13" s="6" t="s">
        <v>535</v>
      </c>
      <c r="M13" s="8" t="s">
        <v>536</v>
      </c>
      <c r="N13" s="31" t="n">
        <v>1</v>
      </c>
      <c r="O13" s="6" t="s">
        <v>537</v>
      </c>
      <c r="P13" s="6" t="str">
        <f aca="false">CHOOSE(N13,K13,L13,M13)&amp;CHAR(10)&amp;CHAR(10)&amp;O13</f>
        <v>副業でいちばん怖いのは、お金を失うことじゃありません。
「また自分にがっかりすること」です。
申し込むたびに「今度こそ」と思う。
成果が出ない月の夜、通帳を見てため息をつく。
家族には「大丈夫」と言いながら、
本当は自分が一番、自分を信じられなくなっている。
僕も、何度もそうなりました。
でも、怖さの正体は失敗そのものじゃなかった。
「取り返しのつかない大きさ」で挑戦していたことです。
（小さく始める方法はツリーへ👇）</v>
      </c>
      <c r="Q13" s="32" t="n">
        <f aca="false">LEN(P13)</f>
        <v>216</v>
      </c>
      <c r="R13" s="6" t="s">
        <v>538</v>
      </c>
      <c r="S13" s="32" t="n">
        <f aca="false">LEN(R13)</f>
        <v>171</v>
      </c>
      <c r="T13" s="6" t="s">
        <v>539</v>
      </c>
      <c r="U13" s="6" t="s">
        <v>540</v>
      </c>
      <c r="V13" s="28" t="str">
        <f aca="false">IF(OR(C13="土",C13="日"),"7:30","20:30")</f>
        <v>20:30</v>
      </c>
    </row>
    <row r="14" customFormat="false" ht="330" hidden="false" customHeight="true" outlineLevel="0" collapsed="false">
      <c r="A14" s="28" t="n">
        <v>9</v>
      </c>
      <c r="B14" s="29" t="n">
        <f aca="false">$B$2+A14-1</f>
        <v>46315</v>
      </c>
      <c r="C14" s="28" t="str">
        <f aca="false">CHOOSE(WEEKDAY(B14),"日","月","火","水","木","金","土")</f>
        <v>火</v>
      </c>
      <c r="D14" s="30" t="s">
        <v>458</v>
      </c>
      <c r="E14" s="8" t="s">
        <v>531</v>
      </c>
      <c r="F14" s="28" t="s">
        <v>282</v>
      </c>
      <c r="G14" s="6" t="s">
        <v>283</v>
      </c>
      <c r="H14" s="6" t="s">
        <v>349</v>
      </c>
      <c r="I14" s="6" t="s">
        <v>541</v>
      </c>
      <c r="J14" s="8" t="s">
        <v>542</v>
      </c>
      <c r="K14" s="8" t="s">
        <v>543</v>
      </c>
      <c r="L14" s="6" t="s">
        <v>544</v>
      </c>
      <c r="M14" s="6" t="s">
        <v>545</v>
      </c>
      <c r="N14" s="31" t="n">
        <v>2</v>
      </c>
      <c r="O14" s="6" t="s">
        <v>546</v>
      </c>
      <c r="P14" s="6" t="str">
        <f aca="false">CHOOSE(N14,K14,L14,M14)&amp;CHAR(10)&amp;CHAR(10)&amp;O14</f>
        <v>副業の時間は「作る」ものじゃありません。
もうある習慣に「乗せる」ものです。
立ち仕事を終えて家に帰る。
ごはんを食べたら、もう何もしたくない。
「明日こそ」と思って、スマホを見て寝てしまう。
当然です。
疲れた体で「新しい時間」を作ろうとするから続かない。
夕食後のお茶、寝る前の歯みがき、通勤の時間。
すでに毎日やっていることの「後ろ」に、
15分だけくっつける。
それだけで、副業は生活の一部になります。</v>
      </c>
      <c r="Q14" s="32" t="n">
        <f aca="false">LEN(P14)</f>
        <v>209</v>
      </c>
      <c r="R14" s="6" t="s">
        <v>547</v>
      </c>
      <c r="S14" s="32" t="n">
        <f aca="false">LEN(R14)</f>
        <v>152</v>
      </c>
      <c r="T14" s="6" t="s">
        <v>548</v>
      </c>
      <c r="U14" s="6" t="s">
        <v>549</v>
      </c>
      <c r="V14" s="28" t="str">
        <f aca="false">IF(OR(C14="土",C14="日"),"7:30","20:30")</f>
        <v>20:30</v>
      </c>
    </row>
    <row r="15" customFormat="false" ht="330" hidden="false" customHeight="true" outlineLevel="0" collapsed="false">
      <c r="A15" s="28" t="n">
        <v>10</v>
      </c>
      <c r="B15" s="29" t="n">
        <f aca="false">$B$2+A15-1</f>
        <v>46316</v>
      </c>
      <c r="C15" s="28" t="str">
        <f aca="false">CHOOSE(WEEKDAY(B15),"日","月","火","水","木","金","土")</f>
        <v>水</v>
      </c>
      <c r="D15" s="30" t="s">
        <v>458</v>
      </c>
      <c r="E15" s="8" t="s">
        <v>531</v>
      </c>
      <c r="F15" s="28" t="s">
        <v>261</v>
      </c>
      <c r="G15" s="6" t="s">
        <v>262</v>
      </c>
      <c r="H15" s="8" t="s">
        <v>346</v>
      </c>
      <c r="I15" s="8" t="s">
        <v>550</v>
      </c>
      <c r="J15" s="8" t="s">
        <v>551</v>
      </c>
      <c r="K15" s="8" t="s">
        <v>552</v>
      </c>
      <c r="L15" s="8" t="s">
        <v>553</v>
      </c>
      <c r="M15" s="6" t="s">
        <v>554</v>
      </c>
      <c r="N15" s="31" t="n">
        <v>1</v>
      </c>
      <c r="O15" s="6" t="s">
        <v>555</v>
      </c>
      <c r="P15" s="6" t="str">
        <f aca="false">CHOOSE(N15,K15,L15,M15)&amp;CHAR(10)&amp;CHAR(10)&amp;O15</f>
        <v>AIの答えが難しく感じるのは、
あなたの理解力のせいではありません。
「プロンプト」「エンゲージメント」「マネタイズ」。
AIに聞いたのに、答えの意味が分からない。
もう一度聞くのも、なんだか情けない。
僕も最初はそうでした。
でも、AIはあなたが誰なのかを知りません。
だから「平均的な大人向け」の言葉で答えてくるんです。
あなたに合わせてもらう「ひと言」を足せばいい。</v>
      </c>
      <c r="Q15" s="32" t="n">
        <f aca="false">LEN(P15)</f>
        <v>190</v>
      </c>
      <c r="R15" s="6" t="s">
        <v>556</v>
      </c>
      <c r="S15" s="32" t="n">
        <f aca="false">LEN(R15)</f>
        <v>172</v>
      </c>
      <c r="T15" s="8" t="s">
        <v>557</v>
      </c>
      <c r="U15" s="6" t="s">
        <v>510</v>
      </c>
      <c r="V15" s="28" t="str">
        <f aca="false">IF(OR(C15="土",C15="日"),"7:30","20:30")</f>
        <v>20:30</v>
      </c>
    </row>
    <row r="16" customFormat="false" ht="330" hidden="false" customHeight="true" outlineLevel="0" collapsed="false">
      <c r="A16" s="28" t="n">
        <v>11</v>
      </c>
      <c r="B16" s="29" t="n">
        <f aca="false">$B$2+A16-1</f>
        <v>46317</v>
      </c>
      <c r="C16" s="28" t="str">
        <f aca="false">CHOOSE(WEEKDAY(B16),"日","月","火","水","木","金","土")</f>
        <v>木</v>
      </c>
      <c r="D16" s="33" t="s">
        <v>480</v>
      </c>
      <c r="E16" s="8" t="s">
        <v>531</v>
      </c>
      <c r="F16" s="28" t="s">
        <v>254</v>
      </c>
      <c r="G16" s="6" t="s">
        <v>255</v>
      </c>
      <c r="H16" s="6" t="s">
        <v>558</v>
      </c>
      <c r="I16" s="6" t="s">
        <v>559</v>
      </c>
      <c r="J16" s="8" t="s">
        <v>560</v>
      </c>
      <c r="K16" s="6" t="s">
        <v>561</v>
      </c>
      <c r="L16" s="6" t="s">
        <v>562</v>
      </c>
      <c r="M16" s="6" t="s">
        <v>563</v>
      </c>
      <c r="N16" s="31" t="n">
        <v>1</v>
      </c>
      <c r="O16" s="6" t="s">
        <v>564</v>
      </c>
      <c r="P16" s="6" t="str">
        <f aca="false">CHOOSE(N16,K16,L16,M16)&amp;CHAR(10)&amp;CHAR(10)&amp;O16</f>
        <v>「苦手な分野に行くから、成果が出ないんじゃない？」
妻に言われたこの一言が、ずっと胸に残っています。
英語が苦手なのに、eBay輸出。
ずっと張り付けないのに、カメラ転売。
妻の言う通りでした。
それでも、AIの本を買ってきてくれたのは妻でした。
最初は反対していた相談会にも一緒に行って、
「この人なら信用できると思う」と言ってくれた。
今度こそ、苦手で戦わない。
妻に「やってよかったね」と言ってもらえるまで。
あなたの副業を、家族はどう見ていますか？</v>
      </c>
      <c r="Q16" s="32" t="n">
        <f aca="false">LEN(P16)</f>
        <v>233</v>
      </c>
      <c r="R16" s="6" t="s">
        <v>565</v>
      </c>
      <c r="S16" s="32" t="n">
        <f aca="false">LEN(R16)</f>
        <v>146</v>
      </c>
      <c r="T16" s="6" t="s">
        <v>566</v>
      </c>
      <c r="U16" s="6" t="s">
        <v>490</v>
      </c>
      <c r="V16" s="28" t="str">
        <f aca="false">IF(OR(C16="土",C16="日"),"7:30","20:30")</f>
        <v>20:30</v>
      </c>
    </row>
    <row r="17" customFormat="false" ht="330" hidden="false" customHeight="true" outlineLevel="0" collapsed="false">
      <c r="A17" s="28" t="n">
        <v>12</v>
      </c>
      <c r="B17" s="29" t="n">
        <f aca="false">$B$2+A17-1</f>
        <v>46318</v>
      </c>
      <c r="C17" s="28" t="str">
        <f aca="false">CHOOSE(WEEKDAY(B17),"日","月","火","水","木","金","土")</f>
        <v>金</v>
      </c>
      <c r="D17" s="30" t="s">
        <v>458</v>
      </c>
      <c r="E17" s="8" t="s">
        <v>531</v>
      </c>
      <c r="F17" s="28" t="s">
        <v>247</v>
      </c>
      <c r="G17" s="6" t="s">
        <v>248</v>
      </c>
      <c r="H17" s="6" t="s">
        <v>330</v>
      </c>
      <c r="I17" s="6" t="s">
        <v>567</v>
      </c>
      <c r="J17" s="8" t="s">
        <v>568</v>
      </c>
      <c r="K17" s="6" t="s">
        <v>569</v>
      </c>
      <c r="L17" s="8" t="s">
        <v>570</v>
      </c>
      <c r="M17" s="6" t="s">
        <v>571</v>
      </c>
      <c r="N17" s="31" t="n">
        <v>2</v>
      </c>
      <c r="O17" s="6" t="s">
        <v>572</v>
      </c>
      <c r="P17" s="6" t="str">
        <f aca="false">CHOOSE(N17,K17,L17,M17)&amp;CHAR(10)&amp;CHAR(10)&amp;O17</f>
        <v>60代の副業、最初の30日はスマホ1台で十分です。
スマホだけでできることは、こんなにあります。
・Threadsへの投稿
・ChatGPTアプリに声で相談
・Noteの下書き
・投稿ネタのメモ
・反応の記録
高いパソコンも、難しいソフトもいりません。
では、パソコンがあると楽になるのはいつなのか。</v>
      </c>
      <c r="Q17" s="32" t="n">
        <f aca="false">LEN(P17)</f>
        <v>154</v>
      </c>
      <c r="R17" s="6" t="s">
        <v>573</v>
      </c>
      <c r="S17" s="32" t="n">
        <f aca="false">LEN(R17)</f>
        <v>146</v>
      </c>
      <c r="T17" s="6" t="s">
        <v>574</v>
      </c>
      <c r="U17" s="6" t="s">
        <v>500</v>
      </c>
      <c r="V17" s="28" t="str">
        <f aca="false">IF(OR(C17="土",C17="日"),"7:30","20:30")</f>
        <v>20:30</v>
      </c>
    </row>
    <row r="18" customFormat="false" ht="330" hidden="false" customHeight="true" outlineLevel="0" collapsed="false">
      <c r="A18" s="28" t="n">
        <v>13</v>
      </c>
      <c r="B18" s="29" t="n">
        <f aca="false">$B$2+A18-1</f>
        <v>46319</v>
      </c>
      <c r="C18" s="28" t="str">
        <f aca="false">CHOOSE(WEEKDAY(B18),"日","月","火","水","木","金","土")</f>
        <v>土</v>
      </c>
      <c r="D18" s="30" t="s">
        <v>458</v>
      </c>
      <c r="E18" s="8" t="s">
        <v>531</v>
      </c>
      <c r="F18" s="28" t="s">
        <v>240</v>
      </c>
      <c r="G18" s="6" t="s">
        <v>241</v>
      </c>
      <c r="H18" s="6" t="s">
        <v>575</v>
      </c>
      <c r="I18" s="6" t="s">
        <v>576</v>
      </c>
      <c r="J18" s="8" t="s">
        <v>577</v>
      </c>
      <c r="K18" s="6" t="s">
        <v>578</v>
      </c>
      <c r="L18" s="6" t="s">
        <v>579</v>
      </c>
      <c r="M18" s="6" t="s">
        <v>580</v>
      </c>
      <c r="N18" s="31" t="n">
        <v>1</v>
      </c>
      <c r="O18" s="6" t="s">
        <v>581</v>
      </c>
      <c r="P18" s="6" t="str">
        <f aca="false">CHOOSE(N18,K18,L18,M18)&amp;CHAR(10)&amp;CHAR(10)&amp;O18</f>
        <v>副業のYouTubeを見ている時間は、
副業ではありません。
寝る前に布団でスマホ。
「スマホで月5万」「AIで不労所得」。
見れば見るほど、どれも正解に見えてくる。
そして、何も始めないまま朝が来る。
情報が足りないんじゃありません。
選択肢が多すぎて、決められなくなっているだけ。
真面目な人ほど「全部知ってから」と思ってしまう。
僕も完璧主義で、ずっと遠回りしました。</v>
      </c>
      <c r="Q18" s="32" t="n">
        <f aca="false">LEN(P18)</f>
        <v>191</v>
      </c>
      <c r="R18" s="6" t="s">
        <v>582</v>
      </c>
      <c r="S18" s="32" t="n">
        <f aca="false">LEN(R18)</f>
        <v>127</v>
      </c>
      <c r="T18" s="6" t="s">
        <v>583</v>
      </c>
      <c r="U18" s="6" t="s">
        <v>584</v>
      </c>
      <c r="V18" s="28" t="str">
        <f aca="false">IF(OR(C18="土",C18="日"),"7:30","20:30")</f>
        <v>7:30</v>
      </c>
    </row>
    <row r="19" customFormat="false" ht="330" hidden="false" customHeight="true" outlineLevel="0" collapsed="false">
      <c r="A19" s="28" t="n">
        <v>14</v>
      </c>
      <c r="B19" s="29" t="n">
        <f aca="false">$B$2+A19-1</f>
        <v>46320</v>
      </c>
      <c r="C19" s="28" t="str">
        <f aca="false">CHOOSE(WEEKDAY(B19),"日","月","火","水","木","金","土")</f>
        <v>日</v>
      </c>
      <c r="D19" s="33" t="s">
        <v>480</v>
      </c>
      <c r="E19" s="8" t="s">
        <v>531</v>
      </c>
      <c r="F19" s="28" t="s">
        <v>254</v>
      </c>
      <c r="G19" s="6" t="s">
        <v>255</v>
      </c>
      <c r="H19" s="6" t="s">
        <v>585</v>
      </c>
      <c r="I19" s="6" t="s">
        <v>586</v>
      </c>
      <c r="J19" s="8" t="s">
        <v>587</v>
      </c>
      <c r="K19" s="6" t="s">
        <v>588</v>
      </c>
      <c r="L19" s="6" t="s">
        <v>589</v>
      </c>
      <c r="M19" s="6" t="s">
        <v>590</v>
      </c>
      <c r="N19" s="31" t="n">
        <v>1</v>
      </c>
      <c r="O19" s="6" t="s">
        <v>591</v>
      </c>
      <c r="P19" s="6" t="str">
        <f aca="false">CHOOSE(N19,K19,L19,M19)&amp;CHAR(10)&amp;CHAR(10)&amp;O19</f>
        <v>兄は、外資系企業で副社長まで上り詰めた人。
弟の僕は、60代の派遣社員です。
兄は勉強ができて、僕はサッカーができた。
子どもの頃は、それでよかった。
でも大人になって、
兄のキャンピングカーを見たとき、
同級生の安定した暮らしを聞いたとき、
胸の奥がチクッとしました。
比べても、兄にはなれない。
だから、比べる相手を「昨日の自分」に変えました。
誰かと比べて、苦しくなったことはありますか？</v>
      </c>
      <c r="Q19" s="32" t="n">
        <f aca="false">LEN(P19)</f>
        <v>201</v>
      </c>
      <c r="R19" s="6" t="s">
        <v>592</v>
      </c>
      <c r="S19" s="32" t="n">
        <f aca="false">LEN(R19)</f>
        <v>134</v>
      </c>
      <c r="T19" s="6" t="s">
        <v>593</v>
      </c>
      <c r="U19" s="6" t="s">
        <v>594</v>
      </c>
      <c r="V19" s="28" t="str">
        <f aca="false">IF(OR(C19="土",C19="日"),"7:30","20:30")</f>
        <v>7:30</v>
      </c>
    </row>
    <row r="20" customFormat="false" ht="330" hidden="false" customHeight="true" outlineLevel="0" collapsed="false">
      <c r="A20" s="28" t="n">
        <v>15</v>
      </c>
      <c r="B20" s="29" t="n">
        <f aca="false">$B$2+A20-1</f>
        <v>46321</v>
      </c>
      <c r="C20" s="28" t="str">
        <f aca="false">CHOOSE(WEEKDAY(B20),"日","月","火","水","木","金","土")</f>
        <v>月</v>
      </c>
      <c r="D20" s="30" t="s">
        <v>458</v>
      </c>
      <c r="E20" s="8" t="s">
        <v>595</v>
      </c>
      <c r="F20" s="28" t="s">
        <v>261</v>
      </c>
      <c r="G20" s="6" t="s">
        <v>262</v>
      </c>
      <c r="H20" s="6" t="s">
        <v>596</v>
      </c>
      <c r="I20" s="8" t="s">
        <v>597</v>
      </c>
      <c r="J20" s="8" t="s">
        <v>598</v>
      </c>
      <c r="K20" s="6" t="s">
        <v>599</v>
      </c>
      <c r="L20" s="6" t="s">
        <v>600</v>
      </c>
      <c r="M20" s="8" t="s">
        <v>601</v>
      </c>
      <c r="N20" s="31" t="n">
        <v>3</v>
      </c>
      <c r="O20" s="6" t="s">
        <v>602</v>
      </c>
      <c r="P20" s="6" t="str">
        <f aca="false">CHOOSE(N20,K20,L20,M20)&amp;CHAR(10)&amp;CHAR(10)&amp;O20</f>
        <v>60代の投稿が読まれない一番の理由は、
「丁寧すぎるあいさつ」です。
「こんにちは。今日は〇〇についてお話しします」
丁寧で、まじめで、きちんとしている。
でも、Threadsではここでスクロールされてしまいます。
読む人が知りたいのは、
「自分に関係あるかどうか」だけだからです。
最初の1行は、あいさつではなく
「読む理由」を書く場所です。</v>
      </c>
      <c r="Q20" s="32" t="n">
        <f aca="false">LEN(P20)</f>
        <v>176</v>
      </c>
      <c r="R20" s="8" t="s">
        <v>603</v>
      </c>
      <c r="S20" s="32" t="n">
        <f aca="false">LEN(R20)</f>
        <v>157</v>
      </c>
      <c r="T20" s="6" t="s">
        <v>604</v>
      </c>
      <c r="U20" s="6" t="s">
        <v>510</v>
      </c>
      <c r="V20" s="28" t="str">
        <f aca="false">IF(OR(C20="土",C20="日"),"7:30","20:30")</f>
        <v>20:30</v>
      </c>
    </row>
    <row r="21" customFormat="false" ht="330" hidden="false" customHeight="true" outlineLevel="0" collapsed="false">
      <c r="A21" s="28" t="n">
        <v>16</v>
      </c>
      <c r="B21" s="29" t="n">
        <f aca="false">$B$2+A21-1</f>
        <v>46322</v>
      </c>
      <c r="C21" s="28" t="str">
        <f aca="false">CHOOSE(WEEKDAY(B21),"日","月","火","水","木","金","土")</f>
        <v>火</v>
      </c>
      <c r="D21" s="30" t="s">
        <v>458</v>
      </c>
      <c r="E21" s="8" t="s">
        <v>595</v>
      </c>
      <c r="F21" s="28" t="s">
        <v>261</v>
      </c>
      <c r="G21" s="6" t="s">
        <v>262</v>
      </c>
      <c r="H21" s="8" t="s">
        <v>605</v>
      </c>
      <c r="I21" s="6" t="s">
        <v>606</v>
      </c>
      <c r="J21" s="8" t="s">
        <v>607</v>
      </c>
      <c r="K21" s="6" t="s">
        <v>608</v>
      </c>
      <c r="L21" s="6" t="s">
        <v>609</v>
      </c>
      <c r="M21" s="8" t="s">
        <v>610</v>
      </c>
      <c r="N21" s="31" t="n">
        <v>3</v>
      </c>
      <c r="O21" s="6" t="s">
        <v>611</v>
      </c>
      <c r="P21" s="6" t="str">
        <f aca="false">CHOOSE(N21,K21,L21,M21)&amp;CHAR(10)&amp;CHAR(10)&amp;O21</f>
        <v>800万円分の失敗を、
980円のNoteにまとめました。
成功した人のノウハウは、すでに世の中にあふれています。
でも、50代・60代の副業迷子が本当に知りたいのは
「どこで失敗するのか」
「何にお金を使わなくていいのか」
ではないでしょうか。
それを一番知っているのは、
実際に遠回りした人です。
あなたの失敗も、誰かの近道になります。</v>
      </c>
      <c r="Q21" s="32" t="n">
        <f aca="false">LEN(P21)</f>
        <v>174</v>
      </c>
      <c r="R21" s="8" t="s">
        <v>612</v>
      </c>
      <c r="S21" s="32" t="n">
        <f aca="false">LEN(R21)</f>
        <v>148</v>
      </c>
      <c r="T21" s="6" t="s">
        <v>613</v>
      </c>
      <c r="U21" s="8" t="s">
        <v>614</v>
      </c>
      <c r="V21" s="28" t="str">
        <f aca="false">IF(OR(C21="土",C21="日"),"7:30","20:30")</f>
        <v>20:30</v>
      </c>
    </row>
    <row r="22" customFormat="false" ht="330" hidden="false" customHeight="true" outlineLevel="0" collapsed="false">
      <c r="A22" s="28" t="n">
        <v>17</v>
      </c>
      <c r="B22" s="29" t="n">
        <f aca="false">$B$2+A22-1</f>
        <v>46323</v>
      </c>
      <c r="C22" s="28" t="str">
        <f aca="false">CHOOSE(WEEKDAY(B22),"日","月","火","水","木","金","土")</f>
        <v>水</v>
      </c>
      <c r="D22" s="33" t="s">
        <v>480</v>
      </c>
      <c r="E22" s="8" t="s">
        <v>595</v>
      </c>
      <c r="F22" s="28" t="s">
        <v>240</v>
      </c>
      <c r="G22" s="6" t="s">
        <v>241</v>
      </c>
      <c r="H22" s="6" t="s">
        <v>615</v>
      </c>
      <c r="I22" s="6" t="s">
        <v>616</v>
      </c>
      <c r="J22" s="8" t="s">
        <v>617</v>
      </c>
      <c r="K22" s="6" t="s">
        <v>618</v>
      </c>
      <c r="L22" s="8" t="s">
        <v>619</v>
      </c>
      <c r="M22" s="6" t="s">
        <v>620</v>
      </c>
      <c r="N22" s="31" t="n">
        <v>1</v>
      </c>
      <c r="O22" s="6" t="s">
        <v>621</v>
      </c>
      <c r="P22" s="6" t="str">
        <f aca="false">CHOOSE(N22,K22,L22,M22)&amp;CHAR(10)&amp;CHAR(10)&amp;O22</f>
        <v>契約は12月末まで。
その先は、会社の業績しだいです。
化粧品工場で、マスクに帽子、長袖。
髪の毛も腕も出せない服装で、
夏でも重い荷物を運んでいます。
職場の人はいい人ばかり。
それでも、業績が悪くなれば契約は終わる。
「来年の夏も、ここにいるのかな」
そう思いながら、帰り道で副業のことを考えます。
会社にしがみつくことが、安定だと思っていました。
でも本当の安定は「収入の足が2本あること」でした。</v>
      </c>
      <c r="Q22" s="32" t="n">
        <f aca="false">LEN(P22)</f>
        <v>206</v>
      </c>
      <c r="R22" s="6" t="s">
        <v>622</v>
      </c>
      <c r="S22" s="32" t="n">
        <f aca="false">LEN(R22)</f>
        <v>166</v>
      </c>
      <c r="T22" s="6" t="s">
        <v>623</v>
      </c>
      <c r="U22" s="6" t="s">
        <v>540</v>
      </c>
      <c r="V22" s="28" t="str">
        <f aca="false">IF(OR(C22="土",C22="日"),"7:30","20:30")</f>
        <v>20:30</v>
      </c>
    </row>
    <row r="23" customFormat="false" ht="330" hidden="false" customHeight="true" outlineLevel="0" collapsed="false">
      <c r="A23" s="28" t="n">
        <v>18</v>
      </c>
      <c r="B23" s="29" t="n">
        <f aca="false">$B$2+A23-1</f>
        <v>46324</v>
      </c>
      <c r="C23" s="28" t="str">
        <f aca="false">CHOOSE(WEEKDAY(B23),"日","月","火","水","木","金","土")</f>
        <v>木</v>
      </c>
      <c r="D23" s="30" t="s">
        <v>458</v>
      </c>
      <c r="E23" s="8" t="s">
        <v>595</v>
      </c>
      <c r="F23" s="28" t="s">
        <v>261</v>
      </c>
      <c r="G23" s="6" t="s">
        <v>262</v>
      </c>
      <c r="H23" s="8" t="s">
        <v>365</v>
      </c>
      <c r="I23" s="8" t="s">
        <v>624</v>
      </c>
      <c r="J23" s="8" t="s">
        <v>625</v>
      </c>
      <c r="K23" s="8" t="s">
        <v>626</v>
      </c>
      <c r="L23" s="8" t="s">
        <v>627</v>
      </c>
      <c r="M23" s="8" t="s">
        <v>628</v>
      </c>
      <c r="N23" s="31" t="n">
        <v>1</v>
      </c>
      <c r="O23" s="8" t="s">
        <v>629</v>
      </c>
      <c r="P23" s="6" t="str">
        <f aca="false">CHOOSE(N23,K23,L23,M23)&amp;CHAR(10)&amp;CHAR(10)&amp;O23</f>
        <v>AIで書いた文章が「誰が書いても同じ」になるのは、
AIのせいではありません。
AIに「副業の投稿を書いて」と頼む。
それらしい文章が一瞬でできる。
でも、読み返すと、なんだか他人ごと。
自分の言葉じゃない気がして、投稿ボタンが押せない。
理由は簡単です。
AIは、あなたの人生を知らないから。
材料を渡していないのに、
「あなたらしい料理」は作れません。</v>
      </c>
      <c r="Q23" s="32" t="n">
        <f aca="false">LEN(P23)</f>
        <v>182</v>
      </c>
      <c r="R23" s="6" t="s">
        <v>630</v>
      </c>
      <c r="S23" s="32" t="n">
        <f aca="false">LEN(R23)</f>
        <v>157</v>
      </c>
      <c r="T23" s="8" t="s">
        <v>631</v>
      </c>
      <c r="U23" s="6" t="s">
        <v>510</v>
      </c>
      <c r="V23" s="28" t="str">
        <f aca="false">IF(OR(C23="土",C23="日"),"7:30","20:30")</f>
        <v>20:30</v>
      </c>
    </row>
    <row r="24" customFormat="false" ht="330" hidden="false" customHeight="true" outlineLevel="0" collapsed="false">
      <c r="A24" s="28" t="n">
        <v>19</v>
      </c>
      <c r="B24" s="29" t="n">
        <f aca="false">$B$2+A24-1</f>
        <v>46325</v>
      </c>
      <c r="C24" s="28" t="str">
        <f aca="false">CHOOSE(WEEKDAY(B24),"日","月","火","水","木","金","土")</f>
        <v>金</v>
      </c>
      <c r="D24" s="30" t="s">
        <v>458</v>
      </c>
      <c r="E24" s="8" t="s">
        <v>595</v>
      </c>
      <c r="F24" s="28" t="s">
        <v>247</v>
      </c>
      <c r="G24" s="6" t="s">
        <v>248</v>
      </c>
      <c r="H24" s="6" t="s">
        <v>632</v>
      </c>
      <c r="I24" s="8" t="s">
        <v>633</v>
      </c>
      <c r="J24" s="8" t="s">
        <v>634</v>
      </c>
      <c r="K24" s="8" t="s">
        <v>635</v>
      </c>
      <c r="L24" s="6" t="s">
        <v>636</v>
      </c>
      <c r="M24" s="6" t="s">
        <v>637</v>
      </c>
      <c r="N24" s="31" t="n">
        <v>1</v>
      </c>
      <c r="O24" s="6" t="s">
        <v>638</v>
      </c>
      <c r="P24" s="6" t="str">
        <f aca="false">CHOOSE(N24,K24,L24,M24)&amp;CHAR(10)&amp;CHAR(10)&amp;O24</f>
        <v>60代が今から選ぶと、苦労しやすい副業。
全部、僕が自腹で試しました。
・英語が必要な輸出（英語で挫折）
・ずっと張り付く転売（仕入れ競争で負け）
・毎日長文のブログ（AIのない時代に2年）
・初期費用の大きい独立（生活できず廃業）
どれも、稼いでいる人はいます。
でも、僕の「時間・苦手・体力」には合いませんでした。
では、PC苦手な60代の僕が
今度こそ続けられているのは何か。</v>
      </c>
      <c r="Q24" s="32" t="n">
        <f aca="false">LEN(P24)</f>
        <v>194</v>
      </c>
      <c r="R24" s="6" t="s">
        <v>639</v>
      </c>
      <c r="S24" s="32" t="n">
        <f aca="false">LEN(R24)</f>
        <v>154</v>
      </c>
      <c r="T24" s="6" t="s">
        <v>640</v>
      </c>
      <c r="U24" s="6" t="s">
        <v>641</v>
      </c>
      <c r="V24" s="28" t="str">
        <f aca="false">IF(OR(C24="土",C24="日"),"7:30","20:30")</f>
        <v>20:30</v>
      </c>
    </row>
    <row r="25" customFormat="false" ht="330" hidden="false" customHeight="true" outlineLevel="0" collapsed="false">
      <c r="A25" s="28" t="n">
        <v>20</v>
      </c>
      <c r="B25" s="29" t="n">
        <f aca="false">$B$2+A25-1</f>
        <v>46326</v>
      </c>
      <c r="C25" s="28" t="str">
        <f aca="false">CHOOSE(WEEKDAY(B25),"日","月","火","水","木","金","土")</f>
        <v>土</v>
      </c>
      <c r="D25" s="30" t="s">
        <v>458</v>
      </c>
      <c r="E25" s="8" t="s">
        <v>595</v>
      </c>
      <c r="F25" s="28" t="s">
        <v>261</v>
      </c>
      <c r="G25" s="6" t="s">
        <v>262</v>
      </c>
      <c r="H25" s="6" t="s">
        <v>642</v>
      </c>
      <c r="I25" s="6" t="s">
        <v>643</v>
      </c>
      <c r="J25" s="8" t="s">
        <v>644</v>
      </c>
      <c r="K25" s="6" t="s">
        <v>645</v>
      </c>
      <c r="L25" s="6" t="s">
        <v>646</v>
      </c>
      <c r="M25" s="6" t="s">
        <v>647</v>
      </c>
      <c r="N25" s="31" t="n">
        <v>2</v>
      </c>
      <c r="O25" s="6" t="s">
        <v>648</v>
      </c>
      <c r="P25" s="6" t="str">
        <f aca="false">CHOOSE(N25,K25,L25,M25)&amp;CHAR(10)&amp;CHAR(10)&amp;O25</f>
        <v>「自分には何の取り柄もない」と思う60代へ。
転職の回数は、才能です。
ガソリンスタンド、製造、営業、
清掃業の自営、介護、ビル管理、フォークリフト。
職業訓練にも2回通いました。
「一つの仕事を続けられなかった」
ずっと、そう思っていました。
でも見方を変えると、
いろんな職場の「困りごと」を知っている、ということ。
それは、同じ立場の人に届く言葉を
たくさん持っているということです。</v>
      </c>
      <c r="Q25" s="32" t="n">
        <f aca="false">LEN(P25)</f>
        <v>199</v>
      </c>
      <c r="R25" s="6" t="s">
        <v>649</v>
      </c>
      <c r="S25" s="32" t="n">
        <f aca="false">LEN(R25)</f>
        <v>147</v>
      </c>
      <c r="T25" s="6" t="s">
        <v>650</v>
      </c>
      <c r="U25" s="6" t="s">
        <v>584</v>
      </c>
      <c r="V25" s="28" t="str">
        <f aca="false">IF(OR(C25="土",C25="日"),"7:30","20:30")</f>
        <v>7:30</v>
      </c>
    </row>
    <row r="26" customFormat="false" ht="330" hidden="false" customHeight="true" outlineLevel="0" collapsed="false">
      <c r="A26" s="28" t="n">
        <v>21</v>
      </c>
      <c r="B26" s="29" t="n">
        <f aca="false">$B$2+A26-1</f>
        <v>46327</v>
      </c>
      <c r="C26" s="28" t="str">
        <f aca="false">CHOOSE(WEEKDAY(B26),"日","月","火","水","木","金","土")</f>
        <v>日</v>
      </c>
      <c r="D26" s="30" t="s">
        <v>458</v>
      </c>
      <c r="E26" s="8" t="s">
        <v>595</v>
      </c>
      <c r="F26" s="28" t="s">
        <v>247</v>
      </c>
      <c r="G26" s="6" t="s">
        <v>248</v>
      </c>
      <c r="H26" s="6" t="s">
        <v>352</v>
      </c>
      <c r="I26" s="8" t="s">
        <v>651</v>
      </c>
      <c r="J26" s="8" t="s">
        <v>652</v>
      </c>
      <c r="K26" s="6" t="s">
        <v>653</v>
      </c>
      <c r="L26" s="6" t="s">
        <v>654</v>
      </c>
      <c r="M26" s="8" t="s">
        <v>655</v>
      </c>
      <c r="N26" s="31" t="n">
        <v>3</v>
      </c>
      <c r="O26" s="6" t="s">
        <v>656</v>
      </c>
      <c r="P26" s="6" t="str">
        <f aca="false">CHOOSE(N26,K26,L26,M26)&amp;CHAR(10)&amp;CHAR(10)&amp;O26</f>
        <v>800万円使った僕が、
もし副業を1日目からやり直すなら。
最初の7日は、こうします。
1日目：使える時間を測る
2日目：使えるお金の上限を決める
3日目：苦手なことを3つ書く
4日目：AIに向いている副業を聞く
5日目：1つに絞る
6日目：Threadsに自己紹介を投稿
7日目：1週間を振り返る
この7日間、使うお金は0円です。</v>
      </c>
      <c r="Q26" s="32" t="n">
        <f aca="false">LEN(P26)</f>
        <v>169</v>
      </c>
      <c r="R26" s="6" t="s">
        <v>657</v>
      </c>
      <c r="S26" s="32" t="n">
        <f aca="false">LEN(R26)</f>
        <v>154</v>
      </c>
      <c r="T26" s="6" t="s">
        <v>658</v>
      </c>
      <c r="U26" s="6" t="s">
        <v>659</v>
      </c>
      <c r="V26" s="28" t="str">
        <f aca="false">IF(OR(C26="土",C26="日"),"7:30","20:30")</f>
        <v>7:30</v>
      </c>
    </row>
    <row r="27" customFormat="false" ht="330" hidden="false" customHeight="true" outlineLevel="0" collapsed="false">
      <c r="A27" s="28" t="n">
        <v>22</v>
      </c>
      <c r="B27" s="29" t="n">
        <f aca="false">$B$2+A27-1</f>
        <v>46328</v>
      </c>
      <c r="C27" s="28" t="str">
        <f aca="false">CHOOSE(WEEKDAY(B27),"日","月","火","水","木","金","土")</f>
        <v>月</v>
      </c>
      <c r="D27" s="30" t="s">
        <v>458</v>
      </c>
      <c r="E27" s="8" t="s">
        <v>660</v>
      </c>
      <c r="F27" s="28" t="s">
        <v>240</v>
      </c>
      <c r="G27" s="6" t="s">
        <v>241</v>
      </c>
      <c r="H27" s="6" t="s">
        <v>661</v>
      </c>
      <c r="I27" s="6" t="s">
        <v>662</v>
      </c>
      <c r="J27" s="8" t="s">
        <v>663</v>
      </c>
      <c r="K27" s="6" t="s">
        <v>664</v>
      </c>
      <c r="L27" s="6" t="s">
        <v>665</v>
      </c>
      <c r="M27" s="6" t="s">
        <v>666</v>
      </c>
      <c r="N27" s="31" t="n">
        <v>2</v>
      </c>
      <c r="O27" s="6" t="s">
        <v>667</v>
      </c>
      <c r="P27" s="6" t="str">
        <f aca="false">CHOOSE(N27,K27,L27,M27)&amp;CHAR(10)&amp;CHAR(10)&amp;O27</f>
        <v>無料相談で聞くべきなのは、
「いくら稼げますか？」ではありません。
「あなたなら、きっと大丈夫ですよ」
やさしく話を聞いてもらえると、
つい心を許してしまう。
気づけば、その場で申し込む流れになっている。
無料相談そのものが悪いわけではありません。
ただ、相手は「売る側」、こちらは「選ぶ側」。
この立場を忘れると、判断がにぶります。</v>
      </c>
      <c r="Q27" s="32" t="n">
        <f aca="false">LEN(P27)</f>
        <v>170</v>
      </c>
      <c r="R27" s="6" t="s">
        <v>668</v>
      </c>
      <c r="S27" s="32" t="n">
        <f aca="false">LEN(R27)</f>
        <v>180</v>
      </c>
      <c r="T27" s="6" t="s">
        <v>669</v>
      </c>
      <c r="U27" s="6" t="s">
        <v>670</v>
      </c>
      <c r="V27" s="28" t="str">
        <f aca="false">IF(OR(C27="土",C27="日"),"7:30","20:30")</f>
        <v>20:30</v>
      </c>
    </row>
    <row r="28" customFormat="false" ht="330" hidden="false" customHeight="true" outlineLevel="0" collapsed="false">
      <c r="A28" s="28" t="n">
        <v>23</v>
      </c>
      <c r="B28" s="29" t="n">
        <f aca="false">$B$2+A28-1</f>
        <v>46329</v>
      </c>
      <c r="C28" s="28" t="str">
        <f aca="false">CHOOSE(WEEKDAY(B28),"日","月","火","水","木","金","土")</f>
        <v>火</v>
      </c>
      <c r="D28" s="33" t="s">
        <v>480</v>
      </c>
      <c r="E28" s="8" t="s">
        <v>660</v>
      </c>
      <c r="F28" s="28" t="s">
        <v>268</v>
      </c>
      <c r="G28" s="6" t="s">
        <v>269</v>
      </c>
      <c r="H28" s="6" t="s">
        <v>671</v>
      </c>
      <c r="I28" s="6" t="s">
        <v>672</v>
      </c>
      <c r="J28" s="8" t="s">
        <v>673</v>
      </c>
      <c r="K28" s="6" t="s">
        <v>674</v>
      </c>
      <c r="L28" s="6" t="s">
        <v>675</v>
      </c>
      <c r="M28" s="6" t="s">
        <v>676</v>
      </c>
      <c r="N28" s="31" t="n">
        <v>1</v>
      </c>
      <c r="O28" s="6" t="s">
        <v>677</v>
      </c>
      <c r="P28" s="6" t="str">
        <f aca="false">CHOOSE(N28,K28,L28,M28)&amp;CHAR(10)&amp;CHAR(10)&amp;O28</f>
        <v>副業で叶えたい夢、正直に言います。
妻と旅行に行きたい。それだけです。
家のローンはありません。
でも、修繕費、保険、子どもの学費の残り。
「旅行は、また今度」が、ずっと続いています。
大金持ちになりたいわけじゃない。
月にあと数万円あれば、妻と温泉に行ける。
その「数万円」のために、
僕はもう一度、挑戦しています。
あなたは、月3万円増えたら何をしたいですか？</v>
      </c>
      <c r="Q28" s="32" t="n">
        <f aca="false">LEN(P28)</f>
        <v>186</v>
      </c>
      <c r="R28" s="6" t="s">
        <v>678</v>
      </c>
      <c r="S28" s="32" t="n">
        <f aca="false">LEN(R28)</f>
        <v>125</v>
      </c>
      <c r="T28" s="6" t="s">
        <v>679</v>
      </c>
      <c r="U28" s="6" t="s">
        <v>680</v>
      </c>
      <c r="V28" s="28" t="str">
        <f aca="false">IF(OR(C28="土",C28="日"),"7:30","20:30")</f>
        <v>20:30</v>
      </c>
    </row>
    <row r="29" customFormat="false" ht="330" hidden="false" customHeight="true" outlineLevel="0" collapsed="false">
      <c r="A29" s="28" t="n">
        <v>24</v>
      </c>
      <c r="B29" s="29" t="n">
        <f aca="false">$B$2+A29-1</f>
        <v>46330</v>
      </c>
      <c r="C29" s="28" t="str">
        <f aca="false">CHOOSE(WEEKDAY(B29),"日","月","火","水","木","金","土")</f>
        <v>水</v>
      </c>
      <c r="D29" s="30" t="s">
        <v>458</v>
      </c>
      <c r="E29" s="8" t="s">
        <v>660</v>
      </c>
      <c r="F29" s="28" t="s">
        <v>247</v>
      </c>
      <c r="G29" s="6" t="s">
        <v>248</v>
      </c>
      <c r="H29" s="6" t="s">
        <v>681</v>
      </c>
      <c r="I29" s="8" t="s">
        <v>682</v>
      </c>
      <c r="J29" s="8" t="s">
        <v>683</v>
      </c>
      <c r="K29" s="6" t="s">
        <v>684</v>
      </c>
      <c r="L29" s="6" t="s">
        <v>685</v>
      </c>
      <c r="M29" s="8" t="s">
        <v>686</v>
      </c>
      <c r="N29" s="31" t="n">
        <v>3</v>
      </c>
      <c r="O29" s="6" t="s">
        <v>687</v>
      </c>
      <c r="P29" s="6" t="str">
        <f aca="false">CHOOSE(N29,K29,L29,M29)&amp;CHAR(10)&amp;CHAR(10)&amp;O29</f>
        <v>800万円使う前に、
AIに聞いておけばよかった質問があります。
それは、
「私に向いていない副業はどれですか？」
という質問です。
「おすすめ」を聞くと、選択肢が増えて迷う。
「向いていない」を聞くと、選択肢が減って決められる。
迷子の人に必要なのは、地図を広げることではなく
行かなくていい道を消すことです。</v>
      </c>
      <c r="Q29" s="32" t="n">
        <f aca="false">LEN(P29)</f>
        <v>159</v>
      </c>
      <c r="R29" s="6" t="s">
        <v>688</v>
      </c>
      <c r="S29" s="32" t="n">
        <f aca="false">LEN(R29)</f>
        <v>173</v>
      </c>
      <c r="T29" s="8" t="s">
        <v>689</v>
      </c>
      <c r="U29" s="6" t="s">
        <v>659</v>
      </c>
      <c r="V29" s="28" t="str">
        <f aca="false">IF(OR(C29="土",C29="日"),"7:30","20:30")</f>
        <v>20:30</v>
      </c>
    </row>
    <row r="30" customFormat="false" ht="330" hidden="false" customHeight="true" outlineLevel="0" collapsed="false">
      <c r="A30" s="28" t="n">
        <v>25</v>
      </c>
      <c r="B30" s="29" t="n">
        <f aca="false">$B$2+A30-1</f>
        <v>46331</v>
      </c>
      <c r="C30" s="28" t="str">
        <f aca="false">CHOOSE(WEEKDAY(B30),"日","月","火","水","木","金","土")</f>
        <v>木</v>
      </c>
      <c r="D30" s="30" t="s">
        <v>458</v>
      </c>
      <c r="E30" s="8" t="s">
        <v>660</v>
      </c>
      <c r="F30" s="28" t="s">
        <v>282</v>
      </c>
      <c r="G30" s="6" t="s">
        <v>283</v>
      </c>
      <c r="H30" s="6" t="s">
        <v>690</v>
      </c>
      <c r="I30" s="6" t="s">
        <v>691</v>
      </c>
      <c r="J30" s="8" t="s">
        <v>692</v>
      </c>
      <c r="K30" s="6" t="s">
        <v>693</v>
      </c>
      <c r="L30" s="6" t="s">
        <v>694</v>
      </c>
      <c r="M30" s="8" t="s">
        <v>695</v>
      </c>
      <c r="N30" s="31" t="n">
        <v>1</v>
      </c>
      <c r="O30" s="8" t="s">
        <v>696</v>
      </c>
      <c r="P30" s="6" t="str">
        <f aca="false">CHOOSE(N30,K30,L30,M30)&amp;CHAR(10)&amp;CHAR(10)&amp;O30</f>
        <v>毎日投稿が続かないのは、根性がないからではありません。
「記録」していないからです。
3日投稿して、反応がない。
4日目、「やっても意味ないか」とスマホを置く。
でも、本当は意味がないんじゃない。
「変化に気づけていない」だけなんです。
僕は30年以上、日記を書いてきました。
見返して「あの時こうだったのか」と助けられたことが何度もあります。
記録があると、小さな前進が見えるようになります。</v>
      </c>
      <c r="Q30" s="32" t="n">
        <f aca="false">LEN(P30)</f>
        <v>201</v>
      </c>
      <c r="R30" s="6" t="s">
        <v>697</v>
      </c>
      <c r="S30" s="32" t="n">
        <f aca="false">LEN(R30)</f>
        <v>147</v>
      </c>
      <c r="T30" s="6" t="s">
        <v>698</v>
      </c>
      <c r="U30" s="6" t="s">
        <v>549</v>
      </c>
      <c r="V30" s="28" t="str">
        <f aca="false">IF(OR(C30="土",C30="日"),"7:30","20:30")</f>
        <v>20:30</v>
      </c>
    </row>
    <row r="31" customFormat="false" ht="330" hidden="false" customHeight="true" outlineLevel="0" collapsed="false">
      <c r="A31" s="28" t="n">
        <v>26</v>
      </c>
      <c r="B31" s="29" t="n">
        <f aca="false">$B$2+A31-1</f>
        <v>46332</v>
      </c>
      <c r="C31" s="28" t="str">
        <f aca="false">CHOOSE(WEEKDAY(B31),"日","月","火","水","木","金","土")</f>
        <v>金</v>
      </c>
      <c r="D31" s="33" t="s">
        <v>480</v>
      </c>
      <c r="E31" s="8" t="s">
        <v>660</v>
      </c>
      <c r="F31" s="28" t="s">
        <v>240</v>
      </c>
      <c r="G31" s="6" t="s">
        <v>241</v>
      </c>
      <c r="H31" s="6" t="s">
        <v>699</v>
      </c>
      <c r="I31" s="8" t="s">
        <v>700</v>
      </c>
      <c r="J31" s="8" t="s">
        <v>701</v>
      </c>
      <c r="K31" s="6" t="s">
        <v>702</v>
      </c>
      <c r="L31" s="6" t="s">
        <v>703</v>
      </c>
      <c r="M31" s="8" t="s">
        <v>704</v>
      </c>
      <c r="N31" s="31" t="n">
        <v>3</v>
      </c>
      <c r="O31" s="6" t="s">
        <v>705</v>
      </c>
      <c r="P31" s="6" t="str">
        <f aca="false">CHOOSE(N31,K31,L31,M31)&amp;CHAR(10)&amp;CHAR(10)&amp;O31</f>
        <v>800万円使った僕でも、
「あれは詐欺だった」とは思っていません。
同じ講座で、成果を出している人は実際にいました。
だから、人のせいにはできない。
ただ、ひとつだけ見落としていました。
成果を出した人と僕とでは、
「条件」がまったく違ったんです。
時間、得意なこと、使えるお金、パソコンの腕。
成功例を見るときは、
「何を」より「誰が」を見なきゃいけなかった。</v>
      </c>
      <c r="Q31" s="32" t="n">
        <f aca="false">LEN(P31)</f>
        <v>185</v>
      </c>
      <c r="R31" s="6" t="s">
        <v>706</v>
      </c>
      <c r="S31" s="32" t="n">
        <f aca="false">LEN(R31)</f>
        <v>163</v>
      </c>
      <c r="T31" s="6" t="s">
        <v>707</v>
      </c>
      <c r="U31" s="6" t="s">
        <v>708</v>
      </c>
      <c r="V31" s="28" t="str">
        <f aca="false">IF(OR(C31="土",C31="日"),"7:30","20:30")</f>
        <v>20:30</v>
      </c>
    </row>
    <row r="32" customFormat="false" ht="330" hidden="false" customHeight="true" outlineLevel="0" collapsed="false">
      <c r="A32" s="28" t="n">
        <v>27</v>
      </c>
      <c r="B32" s="29" t="n">
        <f aca="false">$B$2+A32-1</f>
        <v>46333</v>
      </c>
      <c r="C32" s="28" t="str">
        <f aca="false">CHOOSE(WEEKDAY(B32),"日","月","火","水","木","金","土")</f>
        <v>土</v>
      </c>
      <c r="D32" s="30" t="s">
        <v>458</v>
      </c>
      <c r="E32" s="8" t="s">
        <v>660</v>
      </c>
      <c r="F32" s="28" t="s">
        <v>261</v>
      </c>
      <c r="G32" s="6" t="s">
        <v>262</v>
      </c>
      <c r="H32" s="6" t="s">
        <v>709</v>
      </c>
      <c r="I32" s="8" t="s">
        <v>710</v>
      </c>
      <c r="J32" s="8" t="s">
        <v>711</v>
      </c>
      <c r="K32" s="8" t="s">
        <v>712</v>
      </c>
      <c r="L32" s="6" t="s">
        <v>713</v>
      </c>
      <c r="M32" s="6" t="s">
        <v>714</v>
      </c>
      <c r="N32" s="31" t="n">
        <v>1</v>
      </c>
      <c r="O32" s="8" t="s">
        <v>715</v>
      </c>
      <c r="P32" s="6" t="str">
        <f aca="false">CHOOSE(N32,K32,L32,M32)&amp;CHAR(10)&amp;CHAR(10)&amp;O32</f>
        <v>AI副業で最初につまずくのは、AIではありません。
「コピーと貼り付け」です。
AIが作った文章を、Threadsに移したい。
でも、どうやって移すのか分からない。
結局、画面を見ながら1文字ずつ打ち直す。
実は、これをやっている60代は少なくないと思います。
操作が苦手なんじゃありません。
誰も、最初の一回を見せてくれなかっただけ。
（保存版の手順はツリーへ👇）</v>
      </c>
      <c r="Q32" s="32" t="n">
        <f aca="false">LEN(P32)</f>
        <v>187</v>
      </c>
      <c r="R32" s="6" t="s">
        <v>716</v>
      </c>
      <c r="S32" s="32" t="n">
        <f aca="false">LEN(R32)</f>
        <v>194</v>
      </c>
      <c r="T32" s="6" t="s">
        <v>717</v>
      </c>
      <c r="U32" s="6" t="s">
        <v>718</v>
      </c>
      <c r="V32" s="28" t="str">
        <f aca="false">IF(OR(C32="土",C32="日"),"7:30","20:30")</f>
        <v>7:30</v>
      </c>
    </row>
    <row r="33" customFormat="false" ht="330" hidden="false" customHeight="true" outlineLevel="0" collapsed="false">
      <c r="A33" s="28" t="n">
        <v>28</v>
      </c>
      <c r="B33" s="29" t="n">
        <f aca="false">$B$2+A33-1</f>
        <v>46334</v>
      </c>
      <c r="C33" s="28" t="str">
        <f aca="false">CHOOSE(WEEKDAY(B33),"日","月","火","水","木","金","土")</f>
        <v>日</v>
      </c>
      <c r="D33" s="30" t="s">
        <v>458</v>
      </c>
      <c r="E33" s="8" t="s">
        <v>660</v>
      </c>
      <c r="F33" s="28" t="s">
        <v>275</v>
      </c>
      <c r="G33" s="6" t="s">
        <v>276</v>
      </c>
      <c r="H33" s="6" t="s">
        <v>719</v>
      </c>
      <c r="I33" s="6" t="s">
        <v>720</v>
      </c>
      <c r="J33" s="8" t="s">
        <v>721</v>
      </c>
      <c r="K33" s="6" t="s">
        <v>722</v>
      </c>
      <c r="L33" s="6" t="s">
        <v>723</v>
      </c>
      <c r="M33" s="6" t="s">
        <v>724</v>
      </c>
      <c r="N33" s="31" t="n">
        <v>2</v>
      </c>
      <c r="O33" s="6" t="s">
        <v>725</v>
      </c>
      <c r="P33" s="6" t="str">
        <f aca="false">CHOOSE(N33,K33,L33,M33)&amp;CHAR(10)&amp;CHAR(10)&amp;O33</f>
        <v>ボールがラインを割るまでは、追いかける。
サッカー少年だった僕が、60代でも守っていることです。
小学生の頃、左ウイングでした。
足だけは速くて、外から一気にゴールを狙うのが好きだった。
ボールがラインの外に出るまでは、試合は終わらない。
60代になって、副業で何度も転びました。
それでも、まだラインは割っていない、、、</v>
      </c>
      <c r="Q33" s="32" t="n">
        <f aca="false">LEN(P33)</f>
        <v>164</v>
      </c>
      <c r="R33" s="6" t="s">
        <v>726</v>
      </c>
      <c r="S33" s="32" t="n">
        <f aca="false">LEN(R33)</f>
        <v>149</v>
      </c>
      <c r="T33" s="6" t="s">
        <v>727</v>
      </c>
      <c r="U33" s="6" t="s">
        <v>728</v>
      </c>
      <c r="V33" s="28" t="str">
        <f aca="false">IF(OR(C33="土",C33="日"),"7:30","20:30")</f>
        <v>7:30</v>
      </c>
    </row>
    <row r="34" customFormat="false" ht="330" hidden="false" customHeight="true" outlineLevel="0" collapsed="false">
      <c r="A34" s="28" t="n">
        <v>29</v>
      </c>
      <c r="B34" s="29" t="n">
        <f aca="false">$B$2+A34-1</f>
        <v>46335</v>
      </c>
      <c r="C34" s="28" t="str">
        <f aca="false">CHOOSE(WEEKDAY(B34),"日","月","火","水","木","金","土")</f>
        <v>月</v>
      </c>
      <c r="D34" s="33" t="s">
        <v>480</v>
      </c>
      <c r="E34" s="8" t="s">
        <v>660</v>
      </c>
      <c r="F34" s="28" t="s">
        <v>268</v>
      </c>
      <c r="G34" s="6" t="s">
        <v>269</v>
      </c>
      <c r="H34" s="6" t="s">
        <v>425</v>
      </c>
      <c r="I34" s="6" t="s">
        <v>729</v>
      </c>
      <c r="J34" s="8" t="s">
        <v>730</v>
      </c>
      <c r="K34" s="6" t="s">
        <v>731</v>
      </c>
      <c r="L34" s="6" t="s">
        <v>732</v>
      </c>
      <c r="M34" s="8" t="s">
        <v>733</v>
      </c>
      <c r="N34" s="31" t="n">
        <v>2</v>
      </c>
      <c r="O34" s="6" t="s">
        <v>734</v>
      </c>
      <c r="P34" s="6" t="str">
        <f aca="false">CHOOSE(N34,K34,L34,M34)&amp;CHAR(10)&amp;CHAR(10)&amp;O34</f>
        <v>副業でいちばんつらいのは、稼げないことより
「相談できる人がいない」ことです。
「また副業？」と思われるのが怖くて、家族には言えない。
友達に言うと、心配されるか、笑われる。
だから、一人で夜中に調べて、
一人で申し込んで、一人で落ち込む。
僕もずっと、そうでした。
このアカウントは、そんな副業迷子が
「一人じゃない」と思える場所にしたいと思っています。
今の悩み、1つだけコメントで教えてください。</v>
      </c>
      <c r="Q34" s="32" t="n">
        <f aca="false">LEN(P34)</f>
        <v>206</v>
      </c>
      <c r="R34" s="6" t="s">
        <v>735</v>
      </c>
      <c r="S34" s="32" t="n">
        <f aca="false">LEN(R34)</f>
        <v>125</v>
      </c>
      <c r="T34" s="6" t="s">
        <v>736</v>
      </c>
      <c r="U34" s="6" t="s">
        <v>737</v>
      </c>
      <c r="V34" s="28" t="str">
        <f aca="false">IF(OR(C34="土",C34="日"),"7:30","20:30")</f>
        <v>20:30</v>
      </c>
    </row>
    <row r="35" customFormat="false" ht="330" hidden="false" customHeight="true" outlineLevel="0" collapsed="false">
      <c r="A35" s="28" t="n">
        <v>30</v>
      </c>
      <c r="B35" s="29" t="n">
        <f aca="false">$B$2+A35-1</f>
        <v>46336</v>
      </c>
      <c r="C35" s="28" t="str">
        <f aca="false">CHOOSE(WEEKDAY(B35),"日","月","火","水","木","金","土")</f>
        <v>火</v>
      </c>
      <c r="D35" s="33" t="s">
        <v>480</v>
      </c>
      <c r="E35" s="8" t="s">
        <v>660</v>
      </c>
      <c r="F35" s="28" t="s">
        <v>240</v>
      </c>
      <c r="G35" s="6" t="s">
        <v>241</v>
      </c>
      <c r="H35" s="6" t="s">
        <v>428</v>
      </c>
      <c r="I35" s="8" t="s">
        <v>738</v>
      </c>
      <c r="J35" s="8" t="s">
        <v>739</v>
      </c>
      <c r="K35" s="8" t="s">
        <v>740</v>
      </c>
      <c r="L35" s="8" t="s">
        <v>741</v>
      </c>
      <c r="M35" s="8" t="s">
        <v>742</v>
      </c>
      <c r="N35" s="31" t="n">
        <v>1</v>
      </c>
      <c r="O35" s="6" t="s">
        <v>743</v>
      </c>
      <c r="P35" s="6" t="str">
        <f aca="false">CHOOSE(N35,K35,L35,M35)&amp;CHAR(10)&amp;CHAR(10)&amp;O35</f>
        <v>60代の副業迷子が、Threadsを30日間毎日投稿した結果。
数字を全部公開します。
・投稿数：30本
・フォロワー：【開始時】人 →【30日目】人
・一番読まれた投稿：【タイトル】
・Noteの購入：【　】部
正直、うまくいかなかった日もありました。
それでも、毎日1本だけは出し続けた。
分かったのは、
60代の失敗談でも、ちゃんと誰かに届くということです。</v>
      </c>
      <c r="Q35" s="32" t="n">
        <f aca="false">LEN(P35)</f>
        <v>185</v>
      </c>
      <c r="R35" s="6" t="s">
        <v>744</v>
      </c>
      <c r="S35" s="32" t="n">
        <f aca="false">LEN(R35)</f>
        <v>158</v>
      </c>
      <c r="T35" s="6" t="s">
        <v>745</v>
      </c>
      <c r="U35" s="8" t="s">
        <v>746</v>
      </c>
      <c r="V35" s="28" t="str">
        <f aca="false">IF(OR(C35="土",C35="日"),"7:30","20:30")</f>
        <v>20:30</v>
      </c>
    </row>
  </sheetData>
  <autoFilter ref="A5:V35"/>
  <mergeCells count="2">
    <mergeCell ref="C2:R2"/>
    <mergeCell ref="C3:R3"/>
  </mergeCells>
  <conditionalFormatting sqref="Q6:Q35">
    <cfRule type="cellIs" priority="2" operator="greaterThan" aboveAverage="0" equalAverage="0" bottom="0" percent="0" rank="0" text="" dxfId="7">
      <formula>500</formula>
    </cfRule>
  </conditionalFormatting>
  <conditionalFormatting sqref="S6:S35">
    <cfRule type="cellIs" priority="3" operator="greaterThan" aboveAverage="0" equalAverage="0" bottom="0" percent="0" rank="0" text="" dxfId="7">
      <formula>500</formula>
    </cfRule>
  </conditionalFormatting>
  <dataValidations count="1">
    <dataValidation allowBlank="false" error="1〜3で入力してください" errorStyle="stop" operator="between" showDropDown="false" showErrorMessage="true" showInputMessage="false" sqref="N6:N3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5" min="4" style="0" width="6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7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11" t="s">
        <v>747</v>
      </c>
    </row>
    <row r="2" customFormat="false" ht="15" hidden="false" customHeight="false" outlineLevel="0" collapsed="false">
      <c r="A2" s="2" t="s">
        <v>748</v>
      </c>
    </row>
    <row r="3" customFormat="false" ht="15" hidden="false" customHeight="false" outlineLevel="0" collapsed="false">
      <c r="A3" s="34" t="s">
        <v>749</v>
      </c>
      <c r="B3" s="35" t="n">
        <v>980</v>
      </c>
      <c r="C3" s="2" t="s">
        <v>750</v>
      </c>
    </row>
    <row r="5" customFormat="false" ht="26.85" hidden="false" customHeight="false" outlineLevel="0" collapsed="false">
      <c r="A5" s="13" t="s">
        <v>436</v>
      </c>
      <c r="B5" s="12" t="s">
        <v>437</v>
      </c>
      <c r="C5" s="12" t="s">
        <v>439</v>
      </c>
      <c r="D5" s="12" t="s">
        <v>441</v>
      </c>
      <c r="E5" s="12" t="s">
        <v>751</v>
      </c>
      <c r="F5" s="12" t="s">
        <v>444</v>
      </c>
      <c r="G5" s="12" t="s">
        <v>752</v>
      </c>
      <c r="H5" s="12" t="s">
        <v>139</v>
      </c>
      <c r="I5" s="12" t="s">
        <v>35</v>
      </c>
      <c r="J5" s="12" t="s">
        <v>140</v>
      </c>
      <c r="K5" s="12" t="s">
        <v>753</v>
      </c>
      <c r="L5" s="12" t="s">
        <v>754</v>
      </c>
      <c r="M5" s="13" t="s">
        <v>755</v>
      </c>
      <c r="N5" s="13" t="s">
        <v>756</v>
      </c>
      <c r="O5" s="12" t="s">
        <v>757</v>
      </c>
      <c r="P5" s="12" t="s">
        <v>758</v>
      </c>
      <c r="Q5" s="13" t="s">
        <v>759</v>
      </c>
      <c r="R5" s="12" t="s">
        <v>760</v>
      </c>
      <c r="S5" s="12" t="s">
        <v>761</v>
      </c>
    </row>
    <row r="6" customFormat="false" ht="15" hidden="false" customHeight="false" outlineLevel="0" collapsed="false">
      <c r="A6" s="36" t="s">
        <v>762</v>
      </c>
      <c r="B6" s="36"/>
      <c r="C6" s="36" t="s">
        <v>458</v>
      </c>
      <c r="D6" s="37" t="s">
        <v>240</v>
      </c>
      <c r="E6" s="36" t="n">
        <v>1</v>
      </c>
      <c r="F6" s="36" t="s">
        <v>763</v>
      </c>
      <c r="G6" s="36" t="n">
        <v>12000</v>
      </c>
      <c r="H6" s="36" t="n">
        <v>240</v>
      </c>
      <c r="I6" s="36" t="n">
        <v>35</v>
      </c>
      <c r="J6" s="36" t="n">
        <v>8</v>
      </c>
      <c r="K6" s="36" t="n">
        <v>40</v>
      </c>
      <c r="L6" s="36" t="n">
        <v>300</v>
      </c>
      <c r="M6" s="36" t="n">
        <v>25</v>
      </c>
      <c r="N6" s="36" t="n">
        <v>2</v>
      </c>
      <c r="O6" s="36" t="n">
        <f aca="false">IF(G6&gt;0,(H6+I6+J6)/G6,"")</f>
        <v>0.0235833333333333</v>
      </c>
      <c r="P6" s="36" t="n">
        <f aca="false">IF(G6&gt;0,L6/G6,"")</f>
        <v>0.025</v>
      </c>
      <c r="Q6" s="36" t="n">
        <f aca="false">IF(M6&gt;0,N6/M6,"")</f>
        <v>0.08</v>
      </c>
      <c r="R6" s="36" t="n">
        <f aca="false">N6*$B$3</f>
        <v>1960</v>
      </c>
      <c r="S6" s="38" t="s">
        <v>764</v>
      </c>
    </row>
    <row r="7" customFormat="false" ht="26.85" hidden="false" customHeight="false" outlineLevel="0" collapsed="false">
      <c r="A7" s="10" t="n">
        <f aca="false">30日投稿スケジュール!A6</f>
        <v>1</v>
      </c>
      <c r="B7" s="39" t="n">
        <f aca="false">30日投稿スケジュール!B6</f>
        <v>46307</v>
      </c>
      <c r="C7" s="10" t="str">
        <f aca="false">30日投稿スケジュール!D6</f>
        <v>浅</v>
      </c>
      <c r="D7" s="10" t="str">
        <f aca="false">30日投稿スケジュール!F6</f>
        <v>A</v>
      </c>
      <c r="E7" s="10" t="n">
        <f aca="false">30日投稿スケジュール!N6</f>
        <v>1</v>
      </c>
      <c r="F7" s="10" t="str">
        <f aca="false">30日投稿スケジュール!I6</f>
        <v>副業と独立に約800万円使った60代の自己紹介（固定投稿にする）</v>
      </c>
      <c r="G7" s="40"/>
      <c r="H7" s="40"/>
      <c r="I7" s="40"/>
      <c r="J7" s="40"/>
      <c r="K7" s="40"/>
      <c r="L7" s="40"/>
      <c r="M7" s="40"/>
      <c r="N7" s="40"/>
      <c r="O7" s="41" t="str">
        <f aca="false">IF(G7&gt;0,(H7+I7+J7)/G7,"")</f>
        <v/>
      </c>
      <c r="P7" s="41" t="str">
        <f aca="false">IF(G7&gt;0,L7/G7,"")</f>
        <v/>
      </c>
      <c r="Q7" s="41" t="str">
        <f aca="false">IF(M7&gt;0,N7/M7,"")</f>
        <v/>
      </c>
      <c r="R7" s="42" t="n">
        <f aca="false">N7*$B$3</f>
        <v>0</v>
      </c>
      <c r="S7" s="43"/>
    </row>
    <row r="8" customFormat="false" ht="26.85" hidden="false" customHeight="false" outlineLevel="0" collapsed="false">
      <c r="A8" s="10" t="n">
        <f aca="false">30日投稿スケジュール!A7</f>
        <v>2</v>
      </c>
      <c r="B8" s="39" t="n">
        <f aca="false">30日投稿スケジュール!B7</f>
        <v>46308</v>
      </c>
      <c r="C8" s="10" t="str">
        <f aca="false">30日投稿スケジュール!D7</f>
        <v>浅</v>
      </c>
      <c r="D8" s="10" t="str">
        <f aca="false">30日投稿スケジュール!F7</f>
        <v>D</v>
      </c>
      <c r="E8" s="10" t="n">
        <f aca="false">30日投稿スケジュール!N7</f>
        <v>2</v>
      </c>
      <c r="F8" s="10" t="str">
        <f aca="false">30日投稿スケジュール!I7</f>
        <v>小さい「ゃ」も打てなかった僕のPC入門</v>
      </c>
      <c r="G8" s="40"/>
      <c r="H8" s="40"/>
      <c r="I8" s="40"/>
      <c r="J8" s="40"/>
      <c r="K8" s="40"/>
      <c r="L8" s="40"/>
      <c r="M8" s="40"/>
      <c r="N8" s="40"/>
      <c r="O8" s="41" t="str">
        <f aca="false">IF(G8&gt;0,(H8+I8+J8)/G8,"")</f>
        <v/>
      </c>
      <c r="P8" s="41" t="str">
        <f aca="false">IF(G8&gt;0,L8/G8,"")</f>
        <v/>
      </c>
      <c r="Q8" s="41" t="str">
        <f aca="false">IF(M8&gt;0,N8/M8,"")</f>
        <v/>
      </c>
      <c r="R8" s="42" t="n">
        <f aca="false">N8*$B$3</f>
        <v>0</v>
      </c>
      <c r="S8" s="43"/>
    </row>
    <row r="9" customFormat="false" ht="15" hidden="false" customHeight="false" outlineLevel="0" collapsed="false">
      <c r="A9" s="10" t="n">
        <f aca="false">30日投稿スケジュール!A8</f>
        <v>3</v>
      </c>
      <c r="B9" s="39" t="n">
        <f aca="false">30日投稿スケジュール!B8</f>
        <v>46309</v>
      </c>
      <c r="C9" s="10" t="str">
        <f aca="false">30日投稿スケジュール!D8</f>
        <v>深</v>
      </c>
      <c r="D9" s="10" t="str">
        <f aca="false">30日投稿スケジュール!F8</f>
        <v>C</v>
      </c>
      <c r="E9" s="10" t="n">
        <f aca="false">30日投稿スケジュール!N8</f>
        <v>1</v>
      </c>
      <c r="F9" s="10" t="str">
        <f aca="false">30日投稿スケジュール!I8</f>
        <v>年齢で8社に断られた日</v>
      </c>
      <c r="G9" s="40"/>
      <c r="H9" s="40"/>
      <c r="I9" s="40"/>
      <c r="J9" s="40"/>
      <c r="K9" s="40"/>
      <c r="L9" s="40"/>
      <c r="M9" s="40"/>
      <c r="N9" s="40"/>
      <c r="O9" s="41" t="str">
        <f aca="false">IF(G9&gt;0,(H9+I9+J9)/G9,"")</f>
        <v/>
      </c>
      <c r="P9" s="41" t="str">
        <f aca="false">IF(G9&gt;0,L9/G9,"")</f>
        <v/>
      </c>
      <c r="Q9" s="41" t="str">
        <f aca="false">IF(M9&gt;0,N9/M9,"")</f>
        <v/>
      </c>
      <c r="R9" s="42" t="n">
        <f aca="false">N9*$B$3</f>
        <v>0</v>
      </c>
      <c r="S9" s="43"/>
    </row>
    <row r="10" customFormat="false" ht="26.85" hidden="false" customHeight="false" outlineLevel="0" collapsed="false">
      <c r="A10" s="10" t="n">
        <f aca="false">30日投稿スケジュール!A9</f>
        <v>4</v>
      </c>
      <c r="B10" s="39" t="n">
        <f aca="false">30日投稿スケジュール!B9</f>
        <v>46310</v>
      </c>
      <c r="C10" s="10" t="str">
        <f aca="false">30日投稿スケジュール!D9</f>
        <v>浅</v>
      </c>
      <c r="D10" s="10" t="str">
        <f aca="false">30日投稿スケジュール!F9</f>
        <v>B</v>
      </c>
      <c r="E10" s="10" t="n">
        <f aca="false">30日投稿スケジュール!N9</f>
        <v>1</v>
      </c>
      <c r="F10" s="10" t="str">
        <f aca="false">30日投稿スケジュール!I9</f>
        <v>ChatGPTに最初にしてはいけない質問</v>
      </c>
      <c r="G10" s="40"/>
      <c r="H10" s="40"/>
      <c r="I10" s="40"/>
      <c r="J10" s="40"/>
      <c r="K10" s="40"/>
      <c r="L10" s="40"/>
      <c r="M10" s="40"/>
      <c r="N10" s="40"/>
      <c r="O10" s="41" t="str">
        <f aca="false">IF(G10&gt;0,(H10+I10+J10)/G10,"")</f>
        <v/>
      </c>
      <c r="P10" s="41" t="str">
        <f aca="false">IF(G10&gt;0,L10/G10,"")</f>
        <v/>
      </c>
      <c r="Q10" s="41" t="str">
        <f aca="false">IF(M10&gt;0,N10/M10,"")</f>
        <v/>
      </c>
      <c r="R10" s="42" t="n">
        <f aca="false">N10*$B$3</f>
        <v>0</v>
      </c>
      <c r="S10" s="43"/>
    </row>
    <row r="11" customFormat="false" ht="26.85" hidden="false" customHeight="false" outlineLevel="0" collapsed="false">
      <c r="A11" s="10" t="n">
        <f aca="false">30日投稿スケジュール!A10</f>
        <v>5</v>
      </c>
      <c r="B11" s="39" t="n">
        <f aca="false">30日投稿スケジュール!B10</f>
        <v>46311</v>
      </c>
      <c r="C11" s="10" t="str">
        <f aca="false">30日投稿スケジュール!D10</f>
        <v>浅</v>
      </c>
      <c r="D11" s="10" t="str">
        <f aca="false">30日投稿スケジュール!F10</f>
        <v>A</v>
      </c>
      <c r="E11" s="10" t="n">
        <f aca="false">30日投稿スケジュール!N10</f>
        <v>1</v>
      </c>
      <c r="F11" s="10" t="str">
        <f aca="false">30日投稿スケジュール!I10</f>
        <v>コンサル6件受けて分かった、申し込む前のチェック</v>
      </c>
      <c r="G11" s="40"/>
      <c r="H11" s="40"/>
      <c r="I11" s="40"/>
      <c r="J11" s="40"/>
      <c r="K11" s="40"/>
      <c r="L11" s="40"/>
      <c r="M11" s="40"/>
      <c r="N11" s="40"/>
      <c r="O11" s="41" t="str">
        <f aca="false">IF(G11&gt;0,(H11+I11+J11)/G11,"")</f>
        <v/>
      </c>
      <c r="P11" s="41" t="str">
        <f aca="false">IF(G11&gt;0,L11/G11,"")</f>
        <v/>
      </c>
      <c r="Q11" s="41" t="str">
        <f aca="false">IF(M11&gt;0,N11/M11,"")</f>
        <v/>
      </c>
      <c r="R11" s="42" t="n">
        <f aca="false">N11*$B$3</f>
        <v>0</v>
      </c>
      <c r="S11" s="43"/>
    </row>
    <row r="12" customFormat="false" ht="26.85" hidden="false" customHeight="false" outlineLevel="0" collapsed="false">
      <c r="A12" s="10" t="n">
        <f aca="false">30日投稿スケジュール!A11</f>
        <v>6</v>
      </c>
      <c r="B12" s="39" t="n">
        <f aca="false">30日投稿スケジュール!B11</f>
        <v>46312</v>
      </c>
      <c r="C12" s="10" t="str">
        <f aca="false">30日投稿スケジュール!D11</f>
        <v>浅</v>
      </c>
      <c r="D12" s="10" t="str">
        <f aca="false">30日投稿スケジュール!F11</f>
        <v>D</v>
      </c>
      <c r="E12" s="10" t="n">
        <f aca="false">30日投稿スケジュール!N11</f>
        <v>2</v>
      </c>
      <c r="F12" s="10" t="str">
        <f aca="false">30日投稿スケジュール!I11</f>
        <v>30年の日記と、60代のネタの掘り出し方</v>
      </c>
      <c r="G12" s="40"/>
      <c r="H12" s="40"/>
      <c r="I12" s="40"/>
      <c r="J12" s="40"/>
      <c r="K12" s="40"/>
      <c r="L12" s="40"/>
      <c r="M12" s="40"/>
      <c r="N12" s="40"/>
      <c r="O12" s="41" t="str">
        <f aca="false">IF(G12&gt;0,(H12+I12+J12)/G12,"")</f>
        <v/>
      </c>
      <c r="P12" s="41" t="str">
        <f aca="false">IF(G12&gt;0,L12/G12,"")</f>
        <v/>
      </c>
      <c r="Q12" s="41" t="str">
        <f aca="false">IF(M12&gt;0,N12/M12,"")</f>
        <v/>
      </c>
      <c r="R12" s="42" t="n">
        <f aca="false">N12*$B$3</f>
        <v>0</v>
      </c>
      <c r="S12" s="43"/>
    </row>
    <row r="13" customFormat="false" ht="26.85" hidden="false" customHeight="false" outlineLevel="0" collapsed="false">
      <c r="A13" s="10" t="n">
        <f aca="false">30日投稿スケジュール!A12</f>
        <v>7</v>
      </c>
      <c r="B13" s="39" t="n">
        <f aca="false">30日投稿スケジュール!B12</f>
        <v>46313</v>
      </c>
      <c r="C13" s="10" t="str">
        <f aca="false">30日投稿スケジュール!D12</f>
        <v>浅</v>
      </c>
      <c r="D13" s="10" t="str">
        <f aca="false">30日投稿スケジュール!F12</f>
        <v>E</v>
      </c>
      <c r="E13" s="10" t="n">
        <f aca="false">30日投稿スケジュール!N12</f>
        <v>1</v>
      </c>
      <c r="F13" s="10" t="str">
        <f aca="false">30日投稿スケジュール!I12</f>
        <v>副業、何回やめましたか？（参加型）</v>
      </c>
      <c r="G13" s="40"/>
      <c r="H13" s="40"/>
      <c r="I13" s="40"/>
      <c r="J13" s="40"/>
      <c r="K13" s="40"/>
      <c r="L13" s="40"/>
      <c r="M13" s="40"/>
      <c r="N13" s="40"/>
      <c r="O13" s="41" t="str">
        <f aca="false">IF(G13&gt;0,(H13+I13+J13)/G13,"")</f>
        <v/>
      </c>
      <c r="P13" s="41" t="str">
        <f aca="false">IF(G13&gt;0,L13/G13,"")</f>
        <v/>
      </c>
      <c r="Q13" s="41" t="str">
        <f aca="false">IF(M13&gt;0,N13/M13,"")</f>
        <v/>
      </c>
      <c r="R13" s="42" t="n">
        <f aca="false">N13*$B$3</f>
        <v>0</v>
      </c>
      <c r="S13" s="43"/>
    </row>
    <row r="14" customFormat="false" ht="26.85" hidden="false" customHeight="false" outlineLevel="0" collapsed="false">
      <c r="A14" s="10" t="n">
        <f aca="false">30日投稿スケジュール!A13</f>
        <v>8</v>
      </c>
      <c r="B14" s="39" t="n">
        <f aca="false">30日投稿スケジュール!B13</f>
        <v>46314</v>
      </c>
      <c r="C14" s="10" t="str">
        <f aca="false">30日投稿スケジュール!D13</f>
        <v>深</v>
      </c>
      <c r="D14" s="10" t="str">
        <f aca="false">30日投稿スケジュール!F13</f>
        <v>A</v>
      </c>
      <c r="E14" s="10" t="n">
        <f aca="false">30日投稿スケジュール!N13</f>
        <v>1</v>
      </c>
      <c r="F14" s="10" t="str">
        <f aca="false">30日投稿スケジュール!I13</f>
        <v>怖いのはお金より「自分にがっかりすること」</v>
      </c>
      <c r="G14" s="40"/>
      <c r="H14" s="40"/>
      <c r="I14" s="40"/>
      <c r="J14" s="40"/>
      <c r="K14" s="40"/>
      <c r="L14" s="40"/>
      <c r="M14" s="40"/>
      <c r="N14" s="40"/>
      <c r="O14" s="41" t="str">
        <f aca="false">IF(G14&gt;0,(H14+I14+J14)/G14,"")</f>
        <v/>
      </c>
      <c r="P14" s="41" t="str">
        <f aca="false">IF(G14&gt;0,L14/G14,"")</f>
        <v/>
      </c>
      <c r="Q14" s="41" t="str">
        <f aca="false">IF(M14&gt;0,N14/M14,"")</f>
        <v/>
      </c>
      <c r="R14" s="42" t="n">
        <f aca="false">N14*$B$3</f>
        <v>0</v>
      </c>
      <c r="S14" s="43"/>
    </row>
    <row r="15" customFormat="false" ht="26.85" hidden="false" customHeight="false" outlineLevel="0" collapsed="false">
      <c r="A15" s="10" t="n">
        <f aca="false">30日投稿スケジュール!A14</f>
        <v>9</v>
      </c>
      <c r="B15" s="39" t="n">
        <f aca="false">30日投稿スケジュール!B14</f>
        <v>46315</v>
      </c>
      <c r="C15" s="10" t="str">
        <f aca="false">30日投稿スケジュール!D14</f>
        <v>浅</v>
      </c>
      <c r="D15" s="10" t="str">
        <f aca="false">30日投稿スケジュール!F14</f>
        <v>G</v>
      </c>
      <c r="E15" s="10" t="n">
        <f aca="false">30日投稿スケジュール!N14</f>
        <v>2</v>
      </c>
      <c r="F15" s="10" t="str">
        <f aca="false">30日投稿スケジュール!I14</f>
        <v>時間を作らず、習慣に「くっつける」</v>
      </c>
      <c r="G15" s="40"/>
      <c r="H15" s="40"/>
      <c r="I15" s="40"/>
      <c r="J15" s="40"/>
      <c r="K15" s="40"/>
      <c r="L15" s="40"/>
      <c r="M15" s="40"/>
      <c r="N15" s="40"/>
      <c r="O15" s="41" t="str">
        <f aca="false">IF(G15&gt;0,(H15+I15+J15)/G15,"")</f>
        <v/>
      </c>
      <c r="P15" s="41" t="str">
        <f aca="false">IF(G15&gt;0,L15/G15,"")</f>
        <v/>
      </c>
      <c r="Q15" s="41" t="str">
        <f aca="false">IF(M15&gt;0,N15/M15,"")</f>
        <v/>
      </c>
      <c r="R15" s="42" t="n">
        <f aca="false">N15*$B$3</f>
        <v>0</v>
      </c>
      <c r="S15" s="43"/>
    </row>
    <row r="16" customFormat="false" ht="26.85" hidden="false" customHeight="false" outlineLevel="0" collapsed="false">
      <c r="A16" s="10" t="n">
        <f aca="false">30日投稿スケジュール!A15</f>
        <v>10</v>
      </c>
      <c r="B16" s="39" t="n">
        <f aca="false">30日投稿スケジュール!B15</f>
        <v>46316</v>
      </c>
      <c r="C16" s="10" t="str">
        <f aca="false">30日投稿スケジュール!D15</f>
        <v>浅</v>
      </c>
      <c r="D16" s="10" t="str">
        <f aca="false">30日投稿スケジュール!F15</f>
        <v>D</v>
      </c>
      <c r="E16" s="10" t="n">
        <f aca="false">30日投稿スケジュール!N15</f>
        <v>1</v>
      </c>
      <c r="F16" s="10" t="str">
        <f aca="false">30日投稿スケジュール!I15</f>
        <v>AIを「やさしい先生」に変えるひと言</v>
      </c>
      <c r="G16" s="40"/>
      <c r="H16" s="40"/>
      <c r="I16" s="40"/>
      <c r="J16" s="40"/>
      <c r="K16" s="40"/>
      <c r="L16" s="40"/>
      <c r="M16" s="40"/>
      <c r="N16" s="40"/>
      <c r="O16" s="41" t="str">
        <f aca="false">IF(G16&gt;0,(H16+I16+J16)/G16,"")</f>
        <v/>
      </c>
      <c r="P16" s="41" t="str">
        <f aca="false">IF(G16&gt;0,L16/G16,"")</f>
        <v/>
      </c>
      <c r="Q16" s="41" t="str">
        <f aca="false">IF(M16&gt;0,N16/M16,"")</f>
        <v/>
      </c>
      <c r="R16" s="42" t="n">
        <f aca="false">N16*$B$3</f>
        <v>0</v>
      </c>
      <c r="S16" s="43"/>
    </row>
    <row r="17" customFormat="false" ht="15" hidden="false" customHeight="false" outlineLevel="0" collapsed="false">
      <c r="A17" s="10" t="n">
        <f aca="false">30日投稿スケジュール!A16</f>
        <v>11</v>
      </c>
      <c r="B17" s="39" t="n">
        <f aca="false">30日投稿スケジュール!B16</f>
        <v>46317</v>
      </c>
      <c r="C17" s="10" t="str">
        <f aca="false">30日投稿スケジュール!D16</f>
        <v>深</v>
      </c>
      <c r="D17" s="10" t="str">
        <f aca="false">30日投稿スケジュール!F16</f>
        <v>C</v>
      </c>
      <c r="E17" s="10" t="n">
        <f aca="false">30日投稿スケジュール!N16</f>
        <v>1</v>
      </c>
      <c r="F17" s="10" t="str">
        <f aca="false">30日投稿スケジュール!I16</f>
        <v>妻に言われた一言</v>
      </c>
      <c r="G17" s="40"/>
      <c r="H17" s="40"/>
      <c r="I17" s="40"/>
      <c r="J17" s="40"/>
      <c r="K17" s="40"/>
      <c r="L17" s="40"/>
      <c r="M17" s="40"/>
      <c r="N17" s="40"/>
      <c r="O17" s="41" t="str">
        <f aca="false">IF(G17&gt;0,(H17+I17+J17)/G17,"")</f>
        <v/>
      </c>
      <c r="P17" s="41" t="str">
        <f aca="false">IF(G17&gt;0,L17/G17,"")</f>
        <v/>
      </c>
      <c r="Q17" s="41" t="str">
        <f aca="false">IF(M17&gt;0,N17/M17,"")</f>
        <v/>
      </c>
      <c r="R17" s="42" t="n">
        <f aca="false">N17*$B$3</f>
        <v>0</v>
      </c>
      <c r="S17" s="43"/>
    </row>
    <row r="18" customFormat="false" ht="15" hidden="false" customHeight="false" outlineLevel="0" collapsed="false">
      <c r="A18" s="10" t="n">
        <f aca="false">30日投稿スケジュール!A17</f>
        <v>12</v>
      </c>
      <c r="B18" s="39" t="n">
        <f aca="false">30日投稿スケジュール!B17</f>
        <v>46318</v>
      </c>
      <c r="C18" s="10" t="str">
        <f aca="false">30日投稿スケジュール!D17</f>
        <v>浅</v>
      </c>
      <c r="D18" s="10" t="str">
        <f aca="false">30日投稿スケジュール!F17</f>
        <v>B</v>
      </c>
      <c r="E18" s="10" t="n">
        <f aca="false">30日投稿スケジュール!N17</f>
        <v>2</v>
      </c>
      <c r="F18" s="10" t="str">
        <f aca="false">30日投稿スケジュール!I17</f>
        <v>最初の30日はスマホ1台で十分</v>
      </c>
      <c r="G18" s="40"/>
      <c r="H18" s="40"/>
      <c r="I18" s="40"/>
      <c r="J18" s="40"/>
      <c r="K18" s="40"/>
      <c r="L18" s="40"/>
      <c r="M18" s="40"/>
      <c r="N18" s="40"/>
      <c r="O18" s="41" t="str">
        <f aca="false">IF(G18&gt;0,(H18+I18+J18)/G18,"")</f>
        <v/>
      </c>
      <c r="P18" s="41" t="str">
        <f aca="false">IF(G18&gt;0,L18/G18,"")</f>
        <v/>
      </c>
      <c r="Q18" s="41" t="str">
        <f aca="false">IF(M18&gt;0,N18/M18,"")</f>
        <v/>
      </c>
      <c r="R18" s="42" t="n">
        <f aca="false">N18*$B$3</f>
        <v>0</v>
      </c>
      <c r="S18" s="43"/>
    </row>
    <row r="19" customFormat="false" ht="15" hidden="false" customHeight="false" outlineLevel="0" collapsed="false">
      <c r="A19" s="10" t="n">
        <f aca="false">30日投稿スケジュール!A18</f>
        <v>13</v>
      </c>
      <c r="B19" s="39" t="n">
        <f aca="false">30日投稿スケジュール!B18</f>
        <v>46319</v>
      </c>
      <c r="C19" s="10" t="str">
        <f aca="false">30日投稿スケジュール!D18</f>
        <v>浅</v>
      </c>
      <c r="D19" s="10" t="str">
        <f aca="false">30日投稿スケジュール!F18</f>
        <v>A</v>
      </c>
      <c r="E19" s="10" t="n">
        <f aca="false">30日投稿スケジュール!N18</f>
        <v>1</v>
      </c>
      <c r="F19" s="10" t="str">
        <f aca="false">30日投稿スケジュール!I18</f>
        <v>情報迷子から抜ける3つのルール</v>
      </c>
      <c r="G19" s="40"/>
      <c r="H19" s="40"/>
      <c r="I19" s="40"/>
      <c r="J19" s="40"/>
      <c r="K19" s="40"/>
      <c r="L19" s="40"/>
      <c r="M19" s="40"/>
      <c r="N19" s="40"/>
      <c r="O19" s="41" t="str">
        <f aca="false">IF(G19&gt;0,(H19+I19+J19)/G19,"")</f>
        <v/>
      </c>
      <c r="P19" s="41" t="str">
        <f aca="false">IF(G19&gt;0,L19/G19,"")</f>
        <v/>
      </c>
      <c r="Q19" s="41" t="str">
        <f aca="false">IF(M19&gt;0,N19/M19,"")</f>
        <v/>
      </c>
      <c r="R19" s="42" t="n">
        <f aca="false">N19*$B$3</f>
        <v>0</v>
      </c>
      <c r="S19" s="43"/>
    </row>
    <row r="20" customFormat="false" ht="15" hidden="false" customHeight="false" outlineLevel="0" collapsed="false">
      <c r="A20" s="10" t="n">
        <f aca="false">30日投稿スケジュール!A19</f>
        <v>14</v>
      </c>
      <c r="B20" s="39" t="n">
        <f aca="false">30日投稿スケジュール!B19</f>
        <v>46320</v>
      </c>
      <c r="C20" s="10" t="str">
        <f aca="false">30日投稿スケジュール!D19</f>
        <v>深</v>
      </c>
      <c r="D20" s="10" t="str">
        <f aca="false">30日投稿スケジュール!F19</f>
        <v>C</v>
      </c>
      <c r="E20" s="10" t="n">
        <f aca="false">30日投稿スケジュール!N19</f>
        <v>1</v>
      </c>
      <c r="F20" s="10" t="str">
        <f aca="false">30日投稿スケジュール!I19</f>
        <v>兄は副社長、僕は派遣社員</v>
      </c>
      <c r="G20" s="40"/>
      <c r="H20" s="40"/>
      <c r="I20" s="40"/>
      <c r="J20" s="40"/>
      <c r="K20" s="40"/>
      <c r="L20" s="40"/>
      <c r="M20" s="40"/>
      <c r="N20" s="40"/>
      <c r="O20" s="41" t="str">
        <f aca="false">IF(G20&gt;0,(H20+I20+J20)/G20,"")</f>
        <v/>
      </c>
      <c r="P20" s="41" t="str">
        <f aca="false">IF(G20&gt;0,L20/G20,"")</f>
        <v/>
      </c>
      <c r="Q20" s="41" t="str">
        <f aca="false">IF(M20&gt;0,N20/M20,"")</f>
        <v/>
      </c>
      <c r="R20" s="42" t="n">
        <f aca="false">N20*$B$3</f>
        <v>0</v>
      </c>
      <c r="S20" s="43"/>
    </row>
    <row r="21" customFormat="false" ht="26.85" hidden="false" customHeight="false" outlineLevel="0" collapsed="false">
      <c r="A21" s="10" t="n">
        <f aca="false">30日投稿スケジュール!A20</f>
        <v>15</v>
      </c>
      <c r="B21" s="39" t="n">
        <f aca="false">30日投稿スケジュール!B20</f>
        <v>46321</v>
      </c>
      <c r="C21" s="10" t="str">
        <f aca="false">30日投稿スケジュール!D20</f>
        <v>浅</v>
      </c>
      <c r="D21" s="10" t="str">
        <f aca="false">30日投稿スケジュール!F20</f>
        <v>D</v>
      </c>
      <c r="E21" s="10" t="n">
        <f aca="false">30日投稿スケジュール!N20</f>
        <v>3</v>
      </c>
      <c r="F21" s="10" t="str">
        <f aca="false">30日投稿スケジュール!I20</f>
        <v>60代の投稿が読まれない理由は「丁寧すぎるあいさつ」</v>
      </c>
      <c r="G21" s="40"/>
      <c r="H21" s="40"/>
      <c r="I21" s="40"/>
      <c r="J21" s="40"/>
      <c r="K21" s="40"/>
      <c r="L21" s="40"/>
      <c r="M21" s="40"/>
      <c r="N21" s="40"/>
      <c r="O21" s="41" t="str">
        <f aca="false">IF(G21&gt;0,(H21+I21+J21)/G21,"")</f>
        <v/>
      </c>
      <c r="P21" s="41" t="str">
        <f aca="false">IF(G21&gt;0,L21/G21,"")</f>
        <v/>
      </c>
      <c r="Q21" s="41" t="str">
        <f aca="false">IF(M21&gt;0,N21/M21,"")</f>
        <v/>
      </c>
      <c r="R21" s="42" t="n">
        <f aca="false">N21*$B$3</f>
        <v>0</v>
      </c>
      <c r="S21" s="43"/>
    </row>
    <row r="22" customFormat="false" ht="26.85" hidden="false" customHeight="false" outlineLevel="0" collapsed="false">
      <c r="A22" s="10" t="n">
        <f aca="false">30日投稿スケジュール!A21</f>
        <v>16</v>
      </c>
      <c r="B22" s="39" t="n">
        <f aca="false">30日投稿スケジュール!B21</f>
        <v>46322</v>
      </c>
      <c r="C22" s="10" t="str">
        <f aca="false">30日投稿スケジュール!D21</f>
        <v>浅</v>
      </c>
      <c r="D22" s="10" t="str">
        <f aca="false">30日投稿スケジュール!F21</f>
        <v>D</v>
      </c>
      <c r="E22" s="10" t="n">
        <f aca="false">30日投稿スケジュール!N21</f>
        <v>3</v>
      </c>
      <c r="F22" s="10" t="str">
        <f aca="false">30日投稿スケジュール!I21</f>
        <v>失敗談にも値段がつく（Note紹介回）</v>
      </c>
      <c r="G22" s="40"/>
      <c r="H22" s="40"/>
      <c r="I22" s="40"/>
      <c r="J22" s="40"/>
      <c r="K22" s="40"/>
      <c r="L22" s="40"/>
      <c r="M22" s="40"/>
      <c r="N22" s="40"/>
      <c r="O22" s="41" t="str">
        <f aca="false">IF(G22&gt;0,(H22+I22+J22)/G22,"")</f>
        <v/>
      </c>
      <c r="P22" s="41" t="str">
        <f aca="false">IF(G22&gt;0,L22/G22,"")</f>
        <v/>
      </c>
      <c r="Q22" s="41" t="str">
        <f aca="false">IF(M22&gt;0,N22/M22,"")</f>
        <v/>
      </c>
      <c r="R22" s="42" t="n">
        <f aca="false">N22*$B$3</f>
        <v>0</v>
      </c>
      <c r="S22" s="43"/>
    </row>
    <row r="23" customFormat="false" ht="26.85" hidden="false" customHeight="false" outlineLevel="0" collapsed="false">
      <c r="A23" s="10" t="n">
        <f aca="false">30日投稿スケジュール!A22</f>
        <v>17</v>
      </c>
      <c r="B23" s="39" t="n">
        <f aca="false">30日投稿スケジュール!B22</f>
        <v>46323</v>
      </c>
      <c r="C23" s="10" t="str">
        <f aca="false">30日投稿スケジュール!D22</f>
        <v>深</v>
      </c>
      <c r="D23" s="10" t="str">
        <f aca="false">30日投稿スケジュール!F22</f>
        <v>A</v>
      </c>
      <c r="E23" s="10" t="n">
        <f aca="false">30日投稿スケジュール!N22</f>
        <v>1</v>
      </c>
      <c r="F23" s="10" t="str">
        <f aca="false">30日投稿スケジュール!I22</f>
        <v>契約は12月末まで。その先は業績しだい</v>
      </c>
      <c r="G23" s="40"/>
      <c r="H23" s="40"/>
      <c r="I23" s="40"/>
      <c r="J23" s="40"/>
      <c r="K23" s="40"/>
      <c r="L23" s="40"/>
      <c r="M23" s="40"/>
      <c r="N23" s="40"/>
      <c r="O23" s="41" t="str">
        <f aca="false">IF(G23&gt;0,(H23+I23+J23)/G23,"")</f>
        <v/>
      </c>
      <c r="P23" s="41" t="str">
        <f aca="false">IF(G23&gt;0,L23/G23,"")</f>
        <v/>
      </c>
      <c r="Q23" s="41" t="str">
        <f aca="false">IF(M23&gt;0,N23/M23,"")</f>
        <v/>
      </c>
      <c r="R23" s="42" t="n">
        <f aca="false">N23*$B$3</f>
        <v>0</v>
      </c>
      <c r="S23" s="43"/>
    </row>
    <row r="24" customFormat="false" ht="15" hidden="false" customHeight="false" outlineLevel="0" collapsed="false">
      <c r="A24" s="10" t="n">
        <f aca="false">30日投稿スケジュール!A23</f>
        <v>18</v>
      </c>
      <c r="B24" s="39" t="n">
        <f aca="false">30日投稿スケジュール!B23</f>
        <v>46324</v>
      </c>
      <c r="C24" s="10" t="str">
        <f aca="false">30日投稿スケジュール!D23</f>
        <v>浅</v>
      </c>
      <c r="D24" s="10" t="str">
        <f aca="false">30日投稿スケジュール!F23</f>
        <v>D</v>
      </c>
      <c r="E24" s="10" t="n">
        <f aca="false">30日投稿スケジュール!N23</f>
        <v>1</v>
      </c>
      <c r="F24" s="10" t="str">
        <f aca="false">30日投稿スケジュール!I23</f>
        <v>AIは代筆ではなく清書係</v>
      </c>
      <c r="G24" s="40"/>
      <c r="H24" s="40"/>
      <c r="I24" s="40"/>
      <c r="J24" s="40"/>
      <c r="K24" s="40"/>
      <c r="L24" s="40"/>
      <c r="M24" s="40"/>
      <c r="N24" s="40"/>
      <c r="O24" s="41" t="str">
        <f aca="false">IF(G24&gt;0,(H24+I24+J24)/G24,"")</f>
        <v/>
      </c>
      <c r="P24" s="41" t="str">
        <f aca="false">IF(G24&gt;0,L24/G24,"")</f>
        <v/>
      </c>
      <c r="Q24" s="41" t="str">
        <f aca="false">IF(M24&gt;0,N24/M24,"")</f>
        <v/>
      </c>
      <c r="R24" s="42" t="n">
        <f aca="false">N24*$B$3</f>
        <v>0</v>
      </c>
      <c r="S24" s="43"/>
    </row>
    <row r="25" customFormat="false" ht="26.85" hidden="false" customHeight="false" outlineLevel="0" collapsed="false">
      <c r="A25" s="10" t="n">
        <f aca="false">30日投稿スケジュール!A24</f>
        <v>19</v>
      </c>
      <c r="B25" s="39" t="n">
        <f aca="false">30日投稿スケジュール!B24</f>
        <v>46325</v>
      </c>
      <c r="C25" s="10" t="str">
        <f aca="false">30日投稿スケジュール!D24</f>
        <v>浅</v>
      </c>
      <c r="D25" s="10" t="str">
        <f aca="false">30日投稿スケジュール!F24</f>
        <v>B</v>
      </c>
      <c r="E25" s="10" t="n">
        <f aca="false">30日投稿スケジュール!N24</f>
        <v>1</v>
      </c>
      <c r="F25" s="10" t="str">
        <f aca="false">30日投稿スケジュール!I24</f>
        <v>60代が今から選ぶと苦労しやすい副業（全部自腹で試した）</v>
      </c>
      <c r="G25" s="40"/>
      <c r="H25" s="40"/>
      <c r="I25" s="40"/>
      <c r="J25" s="40"/>
      <c r="K25" s="40"/>
      <c r="L25" s="40"/>
      <c r="M25" s="40"/>
      <c r="N25" s="40"/>
      <c r="O25" s="41" t="str">
        <f aca="false">IF(G25&gt;0,(H25+I25+J25)/G25,"")</f>
        <v/>
      </c>
      <c r="P25" s="41" t="str">
        <f aca="false">IF(G25&gt;0,L25/G25,"")</f>
        <v/>
      </c>
      <c r="Q25" s="41" t="str">
        <f aca="false">IF(M25&gt;0,N25/M25,"")</f>
        <v/>
      </c>
      <c r="R25" s="42" t="n">
        <f aca="false">N25*$B$3</f>
        <v>0</v>
      </c>
      <c r="S25" s="43"/>
    </row>
    <row r="26" customFormat="false" ht="15" hidden="false" customHeight="false" outlineLevel="0" collapsed="false">
      <c r="A26" s="10" t="n">
        <f aca="false">30日投稿スケジュール!A25</f>
        <v>20</v>
      </c>
      <c r="B26" s="39" t="n">
        <f aca="false">30日投稿スケジュール!B25</f>
        <v>46326</v>
      </c>
      <c r="C26" s="10" t="str">
        <f aca="false">30日投稿スケジュール!D25</f>
        <v>浅</v>
      </c>
      <c r="D26" s="10" t="str">
        <f aca="false">30日投稿スケジュール!F25</f>
        <v>D</v>
      </c>
      <c r="E26" s="10" t="n">
        <f aca="false">30日投稿スケジュール!N25</f>
        <v>2</v>
      </c>
      <c r="F26" s="10" t="str">
        <f aca="false">30日投稿スケジュール!I25</f>
        <v>職を転々とした人生は、副業の財産</v>
      </c>
      <c r="G26" s="40"/>
      <c r="H26" s="40"/>
      <c r="I26" s="40"/>
      <c r="J26" s="40"/>
      <c r="K26" s="40"/>
      <c r="L26" s="40"/>
      <c r="M26" s="40"/>
      <c r="N26" s="40"/>
      <c r="O26" s="41" t="str">
        <f aca="false">IF(G26&gt;0,(H26+I26+J26)/G26,"")</f>
        <v/>
      </c>
      <c r="P26" s="41" t="str">
        <f aca="false">IF(G26&gt;0,L26/G26,"")</f>
        <v/>
      </c>
      <c r="Q26" s="41" t="str">
        <f aca="false">IF(M26&gt;0,N26/M26,"")</f>
        <v/>
      </c>
      <c r="R26" s="42" t="n">
        <f aca="false">N26*$B$3</f>
        <v>0</v>
      </c>
      <c r="S26" s="43"/>
    </row>
    <row r="27" customFormat="false" ht="26.85" hidden="false" customHeight="false" outlineLevel="0" collapsed="false">
      <c r="A27" s="10" t="n">
        <f aca="false">30日投稿スケジュール!A26</f>
        <v>21</v>
      </c>
      <c r="B27" s="39" t="n">
        <f aca="false">30日投稿スケジュール!B26</f>
        <v>46327</v>
      </c>
      <c r="C27" s="10" t="str">
        <f aca="false">30日投稿スケジュール!D26</f>
        <v>浅</v>
      </c>
      <c r="D27" s="10" t="str">
        <f aca="false">30日投稿スケジュール!F26</f>
        <v>B</v>
      </c>
      <c r="E27" s="10" t="n">
        <f aca="false">30日投稿スケジュール!N26</f>
        <v>3</v>
      </c>
      <c r="F27" s="10" t="str">
        <f aca="false">30日投稿スケジュール!I26</f>
        <v>800万円使った僕が、副業を1日目からやり直すなら</v>
      </c>
      <c r="G27" s="40"/>
      <c r="H27" s="40"/>
      <c r="I27" s="40"/>
      <c r="J27" s="40"/>
      <c r="K27" s="40"/>
      <c r="L27" s="40"/>
      <c r="M27" s="40"/>
      <c r="N27" s="40"/>
      <c r="O27" s="41" t="str">
        <f aca="false">IF(G27&gt;0,(H27+I27+J27)/G27,"")</f>
        <v/>
      </c>
      <c r="P27" s="41" t="str">
        <f aca="false">IF(G27&gt;0,L27/G27,"")</f>
        <v/>
      </c>
      <c r="Q27" s="41" t="str">
        <f aca="false">IF(M27&gt;0,N27/M27,"")</f>
        <v/>
      </c>
      <c r="R27" s="42" t="n">
        <f aca="false">N27*$B$3</f>
        <v>0</v>
      </c>
      <c r="S27" s="43"/>
    </row>
    <row r="28" customFormat="false" ht="15" hidden="false" customHeight="false" outlineLevel="0" collapsed="false">
      <c r="A28" s="10" t="n">
        <f aca="false">30日投稿スケジュール!A27</f>
        <v>22</v>
      </c>
      <c r="B28" s="39" t="n">
        <f aca="false">30日投稿スケジュール!B27</f>
        <v>46328</v>
      </c>
      <c r="C28" s="10" t="str">
        <f aca="false">30日投稿スケジュール!D27</f>
        <v>浅</v>
      </c>
      <c r="D28" s="10" t="str">
        <f aca="false">30日投稿スケジュール!F27</f>
        <v>A</v>
      </c>
      <c r="E28" s="10" t="n">
        <f aca="false">30日投稿スケジュール!N27</f>
        <v>2</v>
      </c>
      <c r="F28" s="10" t="str">
        <f aca="false">30日投稿スケジュール!I27</f>
        <v>無料相談は「面接」だと思って行く</v>
      </c>
      <c r="G28" s="40"/>
      <c r="H28" s="40"/>
      <c r="I28" s="40"/>
      <c r="J28" s="40"/>
      <c r="K28" s="40"/>
      <c r="L28" s="40"/>
      <c r="M28" s="40"/>
      <c r="N28" s="40"/>
      <c r="O28" s="41" t="str">
        <f aca="false">IF(G28&gt;0,(H28+I28+J28)/G28,"")</f>
        <v/>
      </c>
      <c r="P28" s="41" t="str">
        <f aca="false">IF(G28&gt;0,L28/G28,"")</f>
        <v/>
      </c>
      <c r="Q28" s="41" t="str">
        <f aca="false">IF(M28&gt;0,N28/M28,"")</f>
        <v/>
      </c>
      <c r="R28" s="42" t="n">
        <f aca="false">N28*$B$3</f>
        <v>0</v>
      </c>
      <c r="S28" s="43"/>
    </row>
    <row r="29" customFormat="false" ht="15" hidden="false" customHeight="false" outlineLevel="0" collapsed="false">
      <c r="A29" s="10" t="n">
        <f aca="false">30日投稿スケジュール!A28</f>
        <v>23</v>
      </c>
      <c r="B29" s="39" t="n">
        <f aca="false">30日投稿スケジュール!B28</f>
        <v>46329</v>
      </c>
      <c r="C29" s="10" t="str">
        <f aca="false">30日投稿スケジュール!D28</f>
        <v>深</v>
      </c>
      <c r="D29" s="10" t="str">
        <f aca="false">30日投稿スケジュール!F28</f>
        <v>E</v>
      </c>
      <c r="E29" s="10" t="n">
        <f aca="false">30日投稿スケジュール!N28</f>
        <v>1</v>
      </c>
      <c r="F29" s="10" t="str">
        <f aca="false">30日投稿スケジュール!I28</f>
        <v>副業で叶えたい夢は、妻との旅行</v>
      </c>
      <c r="G29" s="40"/>
      <c r="H29" s="40"/>
      <c r="I29" s="40"/>
      <c r="J29" s="40"/>
      <c r="K29" s="40"/>
      <c r="L29" s="40"/>
      <c r="M29" s="40"/>
      <c r="N29" s="40"/>
      <c r="O29" s="41" t="str">
        <f aca="false">IF(G29&gt;0,(H29+I29+J29)/G29,"")</f>
        <v/>
      </c>
      <c r="P29" s="41" t="str">
        <f aca="false">IF(G29&gt;0,L29/G29,"")</f>
        <v/>
      </c>
      <c r="Q29" s="41" t="str">
        <f aca="false">IF(M29&gt;0,N29/M29,"")</f>
        <v/>
      </c>
      <c r="R29" s="42" t="n">
        <f aca="false">N29*$B$3</f>
        <v>0</v>
      </c>
      <c r="S29" s="43"/>
    </row>
    <row r="30" customFormat="false" ht="26.85" hidden="false" customHeight="false" outlineLevel="0" collapsed="false">
      <c r="A30" s="10" t="n">
        <f aca="false">30日投稿スケジュール!A29</f>
        <v>24</v>
      </c>
      <c r="B30" s="39" t="n">
        <f aca="false">30日投稿スケジュール!B29</f>
        <v>46330</v>
      </c>
      <c r="C30" s="10" t="str">
        <f aca="false">30日投稿スケジュール!D29</f>
        <v>浅</v>
      </c>
      <c r="D30" s="10" t="str">
        <f aca="false">30日投稿スケジュール!F29</f>
        <v>B</v>
      </c>
      <c r="E30" s="10" t="n">
        <f aca="false">30日投稿スケジュール!N29</f>
        <v>3</v>
      </c>
      <c r="F30" s="10" t="str">
        <f aca="false">30日投稿スケジュール!I29</f>
        <v>AIに「私に向いていない副業」を聞く</v>
      </c>
      <c r="G30" s="40"/>
      <c r="H30" s="40"/>
      <c r="I30" s="40"/>
      <c r="J30" s="40"/>
      <c r="K30" s="40"/>
      <c r="L30" s="40"/>
      <c r="M30" s="40"/>
      <c r="N30" s="40"/>
      <c r="O30" s="41" t="str">
        <f aca="false">IF(G30&gt;0,(H30+I30+J30)/G30,"")</f>
        <v/>
      </c>
      <c r="P30" s="41" t="str">
        <f aca="false">IF(G30&gt;0,L30/G30,"")</f>
        <v/>
      </c>
      <c r="Q30" s="41" t="str">
        <f aca="false">IF(M30&gt;0,N30/M30,"")</f>
        <v/>
      </c>
      <c r="R30" s="42" t="n">
        <f aca="false">N30*$B$3</f>
        <v>0</v>
      </c>
      <c r="S30" s="43"/>
    </row>
    <row r="31" customFormat="false" ht="26.85" hidden="false" customHeight="false" outlineLevel="0" collapsed="false">
      <c r="A31" s="10" t="n">
        <f aca="false">30日投稿スケジュール!A30</f>
        <v>25</v>
      </c>
      <c r="B31" s="39" t="n">
        <f aca="false">30日投稿スケジュール!B30</f>
        <v>46331</v>
      </c>
      <c r="C31" s="10" t="str">
        <f aca="false">30日投稿スケジュール!D30</f>
        <v>浅</v>
      </c>
      <c r="D31" s="10" t="str">
        <f aca="false">30日投稿スケジュール!F30</f>
        <v>G</v>
      </c>
      <c r="E31" s="10" t="n">
        <f aca="false">30日投稿スケジュール!N30</f>
        <v>1</v>
      </c>
      <c r="F31" s="10" t="str">
        <f aca="false">30日投稿スケジュール!I30</f>
        <v>続かないのは根性ではなく「記録」がないから</v>
      </c>
      <c r="G31" s="40"/>
      <c r="H31" s="40"/>
      <c r="I31" s="40"/>
      <c r="J31" s="40"/>
      <c r="K31" s="40"/>
      <c r="L31" s="40"/>
      <c r="M31" s="40"/>
      <c r="N31" s="40"/>
      <c r="O31" s="41" t="str">
        <f aca="false">IF(G31&gt;0,(H31+I31+J31)/G31,"")</f>
        <v/>
      </c>
      <c r="P31" s="41" t="str">
        <f aca="false">IF(G31&gt;0,L31/G31,"")</f>
        <v/>
      </c>
      <c r="Q31" s="41" t="str">
        <f aca="false">IF(M31&gt;0,N31/M31,"")</f>
        <v/>
      </c>
      <c r="R31" s="42" t="n">
        <f aca="false">N31*$B$3</f>
        <v>0</v>
      </c>
      <c r="S31" s="43"/>
    </row>
    <row r="32" customFormat="false" ht="26.85" hidden="false" customHeight="false" outlineLevel="0" collapsed="false">
      <c r="A32" s="10" t="n">
        <f aca="false">30日投稿スケジュール!A31</f>
        <v>26</v>
      </c>
      <c r="B32" s="39" t="n">
        <f aca="false">30日投稿スケジュール!B31</f>
        <v>46332</v>
      </c>
      <c r="C32" s="10" t="str">
        <f aca="false">30日投稿スケジュール!D31</f>
        <v>深</v>
      </c>
      <c r="D32" s="10" t="str">
        <f aca="false">30日投稿スケジュール!F31</f>
        <v>A</v>
      </c>
      <c r="E32" s="10" t="n">
        <f aca="false">30日投稿スケジュール!N31</f>
        <v>3</v>
      </c>
      <c r="F32" s="10" t="str">
        <f aca="false">30日投稿スケジュール!I31</f>
        <v>800万円使っても「詐欺だった」とは思っていない理由</v>
      </c>
      <c r="G32" s="40"/>
      <c r="H32" s="40"/>
      <c r="I32" s="40"/>
      <c r="J32" s="40"/>
      <c r="K32" s="40"/>
      <c r="L32" s="40"/>
      <c r="M32" s="40"/>
      <c r="N32" s="40"/>
      <c r="O32" s="41" t="str">
        <f aca="false">IF(G32&gt;0,(H32+I32+J32)/G32,"")</f>
        <v/>
      </c>
      <c r="P32" s="41" t="str">
        <f aca="false">IF(G32&gt;0,L32/G32,"")</f>
        <v/>
      </c>
      <c r="Q32" s="41" t="str">
        <f aca="false">IF(M32&gt;0,N32/M32,"")</f>
        <v/>
      </c>
      <c r="R32" s="42" t="n">
        <f aca="false">N32*$B$3</f>
        <v>0</v>
      </c>
      <c r="S32" s="43"/>
    </row>
    <row r="33" customFormat="false" ht="15" hidden="false" customHeight="false" outlineLevel="0" collapsed="false">
      <c r="A33" s="10" t="n">
        <f aca="false">30日投稿スケジュール!A32</f>
        <v>27</v>
      </c>
      <c r="B33" s="39" t="n">
        <f aca="false">30日投稿スケジュール!B32</f>
        <v>46333</v>
      </c>
      <c r="C33" s="10" t="str">
        <f aca="false">30日投稿スケジュール!D32</f>
        <v>浅</v>
      </c>
      <c r="D33" s="10" t="str">
        <f aca="false">30日投稿スケジュール!F32</f>
        <v>D</v>
      </c>
      <c r="E33" s="10" t="n">
        <f aca="false">30日投稿スケジュール!N32</f>
        <v>1</v>
      </c>
      <c r="F33" s="10" t="str">
        <f aca="false">30日投稿スケジュール!I32</f>
        <v>AI副業の最初の壁は「コピペ」</v>
      </c>
      <c r="G33" s="40"/>
      <c r="H33" s="40"/>
      <c r="I33" s="40"/>
      <c r="J33" s="40"/>
      <c r="K33" s="40"/>
      <c r="L33" s="40"/>
      <c r="M33" s="40"/>
      <c r="N33" s="40"/>
      <c r="O33" s="41" t="str">
        <f aca="false">IF(G33&gt;0,(H33+I33+J33)/G33,"")</f>
        <v/>
      </c>
      <c r="P33" s="41" t="str">
        <f aca="false">IF(G33&gt;0,L33/G33,"")</f>
        <v/>
      </c>
      <c r="Q33" s="41" t="str">
        <f aca="false">IF(M33&gt;0,N33/M33,"")</f>
        <v/>
      </c>
      <c r="R33" s="42" t="n">
        <f aca="false">N33*$B$3</f>
        <v>0</v>
      </c>
      <c r="S33" s="43"/>
    </row>
    <row r="34" customFormat="false" ht="26.85" hidden="false" customHeight="false" outlineLevel="0" collapsed="false">
      <c r="A34" s="10" t="n">
        <f aca="false">30日投稿スケジュール!A33</f>
        <v>28</v>
      </c>
      <c r="B34" s="39" t="n">
        <f aca="false">30日投稿スケジュール!B33</f>
        <v>46334</v>
      </c>
      <c r="C34" s="10" t="str">
        <f aca="false">30日投稿スケジュール!D33</f>
        <v>浅</v>
      </c>
      <c r="D34" s="10" t="str">
        <f aca="false">30日投稿スケジュール!F33</f>
        <v>F</v>
      </c>
      <c r="E34" s="10" t="n">
        <f aca="false">30日投稿スケジュール!N33</f>
        <v>2</v>
      </c>
      <c r="F34" s="10" t="str">
        <f aca="false">30日投稿スケジュール!I33</f>
        <v>ラインを割るまでは、試合は終わらない</v>
      </c>
      <c r="G34" s="40"/>
      <c r="H34" s="40"/>
      <c r="I34" s="40"/>
      <c r="J34" s="40"/>
      <c r="K34" s="40"/>
      <c r="L34" s="40"/>
      <c r="M34" s="40"/>
      <c r="N34" s="40"/>
      <c r="O34" s="41" t="str">
        <f aca="false">IF(G34&gt;0,(H34+I34+J34)/G34,"")</f>
        <v/>
      </c>
      <c r="P34" s="41" t="str">
        <f aca="false">IF(G34&gt;0,L34/G34,"")</f>
        <v/>
      </c>
      <c r="Q34" s="41" t="str">
        <f aca="false">IF(M34&gt;0,N34/M34,"")</f>
        <v/>
      </c>
      <c r="R34" s="42" t="n">
        <f aca="false">N34*$B$3</f>
        <v>0</v>
      </c>
      <c r="S34" s="43"/>
    </row>
    <row r="35" customFormat="false" ht="26.85" hidden="false" customHeight="false" outlineLevel="0" collapsed="false">
      <c r="A35" s="10" t="n">
        <f aca="false">30日投稿スケジュール!A34</f>
        <v>29</v>
      </c>
      <c r="B35" s="39" t="n">
        <f aca="false">30日投稿スケジュール!B34</f>
        <v>46335</v>
      </c>
      <c r="C35" s="10" t="str">
        <f aca="false">30日投稿スケジュール!D34</f>
        <v>深</v>
      </c>
      <c r="D35" s="10" t="str">
        <f aca="false">30日投稿スケジュール!F34</f>
        <v>E</v>
      </c>
      <c r="E35" s="10" t="n">
        <f aca="false">30日投稿スケジュール!N34</f>
        <v>2</v>
      </c>
      <c r="F35" s="10" t="str">
        <f aca="false">30日投稿スケジュール!I34</f>
        <v>副業迷子は、たいてい一人で迷っている</v>
      </c>
      <c r="G35" s="40"/>
      <c r="H35" s="40"/>
      <c r="I35" s="40"/>
      <c r="J35" s="40"/>
      <c r="K35" s="40"/>
      <c r="L35" s="40"/>
      <c r="M35" s="40"/>
      <c r="N35" s="40"/>
      <c r="O35" s="41" t="str">
        <f aca="false">IF(G35&gt;0,(H35+I35+J35)/G35,"")</f>
        <v/>
      </c>
      <c r="P35" s="41" t="str">
        <f aca="false">IF(G35&gt;0,L35/G35,"")</f>
        <v/>
      </c>
      <c r="Q35" s="41" t="str">
        <f aca="false">IF(M35&gt;0,N35/M35,"")</f>
        <v/>
      </c>
      <c r="R35" s="42" t="n">
        <f aca="false">N35*$B$3</f>
        <v>0</v>
      </c>
      <c r="S35" s="43"/>
    </row>
    <row r="36" customFormat="false" ht="26.85" hidden="false" customHeight="false" outlineLevel="0" collapsed="false">
      <c r="A36" s="10" t="n">
        <f aca="false">30日投稿スケジュール!A35</f>
        <v>30</v>
      </c>
      <c r="B36" s="39" t="n">
        <f aca="false">30日投稿スケジュール!B35</f>
        <v>46336</v>
      </c>
      <c r="C36" s="10" t="str">
        <f aca="false">30日投稿スケジュール!D35</f>
        <v>深</v>
      </c>
      <c r="D36" s="10" t="str">
        <f aca="false">30日投稿スケジュール!F35</f>
        <v>A</v>
      </c>
      <c r="E36" s="10" t="n">
        <f aca="false">30日投稿スケジュール!N35</f>
        <v>1</v>
      </c>
      <c r="F36" s="10" t="str">
        <f aca="false">30日投稿スケジュール!I35</f>
        <v>30日間毎日投稿した60代のリアルな数字（実数を入れて投稿）</v>
      </c>
      <c r="G36" s="40"/>
      <c r="H36" s="40"/>
      <c r="I36" s="40"/>
      <c r="J36" s="40"/>
      <c r="K36" s="40"/>
      <c r="L36" s="40"/>
      <c r="M36" s="40"/>
      <c r="N36" s="40"/>
      <c r="O36" s="41" t="str">
        <f aca="false">IF(G36&gt;0,(H36+I36+J36)/G36,"")</f>
        <v/>
      </c>
      <c r="P36" s="41" t="str">
        <f aca="false">IF(G36&gt;0,L36/G36,"")</f>
        <v/>
      </c>
      <c r="Q36" s="41" t="str">
        <f aca="false">IF(M36&gt;0,N36/M36,"")</f>
        <v/>
      </c>
      <c r="R36" s="42" t="n">
        <f aca="false">N36*$B$3</f>
        <v>0</v>
      </c>
      <c r="S36" s="43"/>
    </row>
    <row r="37" customFormat="false" ht="15" hidden="false" customHeight="false" outlineLevel="0" collapsed="false">
      <c r="A37" s="44" t="s">
        <v>765</v>
      </c>
      <c r="B37" s="44"/>
      <c r="C37" s="44"/>
      <c r="D37" s="44"/>
      <c r="E37" s="44"/>
      <c r="F37" s="44"/>
      <c r="G37" s="45" t="n">
        <f aca="false">SUM(G7:G36)</f>
        <v>0</v>
      </c>
      <c r="H37" s="45" t="n">
        <f aca="false">SUM(H7:H36)</f>
        <v>0</v>
      </c>
      <c r="I37" s="45" t="n">
        <f aca="false">SUM(I7:I36)</f>
        <v>0</v>
      </c>
      <c r="J37" s="45" t="n">
        <f aca="false">SUM(J7:J36)</f>
        <v>0</v>
      </c>
      <c r="K37" s="45" t="n">
        <f aca="false">SUM(K7:K36)</f>
        <v>0</v>
      </c>
      <c r="L37" s="45" t="n">
        <f aca="false">SUM(L7:L36)</f>
        <v>0</v>
      </c>
      <c r="M37" s="45" t="n">
        <f aca="false">SUM(M7:M36)</f>
        <v>0</v>
      </c>
      <c r="N37" s="45" t="n">
        <f aca="false">SUM(N7:N36)</f>
        <v>0</v>
      </c>
      <c r="O37" s="46" t="str">
        <f aca="false">IF(G37&gt;0,(H37+I37+J37)/G37,"")</f>
        <v/>
      </c>
      <c r="P37" s="46" t="str">
        <f aca="false">IF(G37&gt;0,L37/G37,"")</f>
        <v/>
      </c>
      <c r="Q37" s="46" t="str">
        <f aca="false">IF(M37&gt;0,N37/M37,"")</f>
        <v/>
      </c>
      <c r="R37" s="45" t="n">
        <f aca="false">SUM(R7:R36)</f>
        <v>0</v>
      </c>
      <c r="S37" s="44"/>
    </row>
    <row r="39" customFormat="false" ht="15" hidden="false" customHeight="false" outlineLevel="0" collapsed="false">
      <c r="A39" s="3" t="s">
        <v>766</v>
      </c>
      <c r="B39" s="4"/>
      <c r="C39" s="4"/>
      <c r="D39" s="4"/>
      <c r="E39" s="4"/>
      <c r="F39" s="4"/>
      <c r="G39" s="4"/>
      <c r="H39" s="4"/>
    </row>
    <row r="40" customFormat="false" ht="52.2" hidden="false" customHeight="false" outlineLevel="0" collapsed="false">
      <c r="A40" s="12" t="s">
        <v>54</v>
      </c>
      <c r="B40" s="12" t="s">
        <v>767</v>
      </c>
      <c r="C40" s="12" t="s">
        <v>768</v>
      </c>
      <c r="D40" s="12" t="s">
        <v>769</v>
      </c>
      <c r="E40" s="12" t="s">
        <v>770</v>
      </c>
      <c r="F40" s="13" t="s">
        <v>771</v>
      </c>
    </row>
    <row r="41" customFormat="false" ht="15" hidden="false" customHeight="false" outlineLevel="0" collapsed="false">
      <c r="A41" s="47" t="s">
        <v>772</v>
      </c>
      <c r="B41" s="47" t="n">
        <f aca="false">COUNTIF($C$7:$C$36,$G41)</f>
        <v>21</v>
      </c>
      <c r="C41" s="42" t="str">
        <f aca="false">IFERROR(AVERAGEIFS($G$7:$G$36,$C$7:$C$36,$G41,$G$7:$G$36,"&gt;0"),"未入力")</f>
        <v>未入力</v>
      </c>
      <c r="D41" s="48" t="str">
        <f aca="false">IFERROR(AVERAGEIFS($I$7:$I$36,$C$7:$C$36,$G41,$G$7:$G$36,"&gt;0"),"未入力")</f>
        <v>未入力</v>
      </c>
      <c r="E41" s="41" t="str">
        <f aca="false">IFERROR(SUMIFS($L$7:$L$36,$C$7:$C$36,$G41)/SUMIFS($G$7:$G$36,$C$7:$C$36,$G41),"未入力")</f>
        <v>未入力</v>
      </c>
      <c r="F41" s="47" t="n">
        <f aca="false">SUMIFS($N$7:$N$36,$C$7:$C$36,$G41)</f>
        <v>0</v>
      </c>
      <c r="G41" s="49" t="s">
        <v>458</v>
      </c>
    </row>
    <row r="42" customFormat="false" ht="15" hidden="false" customHeight="false" outlineLevel="0" collapsed="false">
      <c r="A42" s="47" t="s">
        <v>773</v>
      </c>
      <c r="B42" s="47" t="n">
        <f aca="false">COUNTIF($C$7:$C$36,$G42)</f>
        <v>9</v>
      </c>
      <c r="C42" s="42" t="str">
        <f aca="false">IFERROR(AVERAGEIFS($G$7:$G$36,$C$7:$C$36,$G42,$G$7:$G$36,"&gt;0"),"未入力")</f>
        <v>未入力</v>
      </c>
      <c r="D42" s="48" t="str">
        <f aca="false">IFERROR(AVERAGEIFS($I$7:$I$36,$C$7:$C$36,$G42,$G$7:$G$36,"&gt;0"),"未入力")</f>
        <v>未入力</v>
      </c>
      <c r="E42" s="41" t="str">
        <f aca="false">IFERROR(SUMIFS($L$7:$L$36,$C$7:$C$36,$G42)/SUMIFS($G$7:$G$36,$C$7:$C$36,$G42),"未入力")</f>
        <v>未入力</v>
      </c>
      <c r="F42" s="47" t="n">
        <f aca="false">SUMIFS($N$7:$N$36,$C$7:$C$36,$G42)</f>
        <v>0</v>
      </c>
      <c r="G42" s="49" t="s">
        <v>480</v>
      </c>
    </row>
    <row r="43" customFormat="false" ht="15" hidden="false" customHeight="false" outlineLevel="0" collapsed="false">
      <c r="A43" s="47" t="s">
        <v>774</v>
      </c>
      <c r="B43" s="47" t="n">
        <f aca="false">COUNTIF($D$7:$D$36,$G43)</f>
        <v>8</v>
      </c>
      <c r="C43" s="42" t="str">
        <f aca="false">IFERROR(AVERAGEIFS($G$7:$G$36,$D$7:$D$36,$G43,$G$7:$G$36,"&gt;0"),"未入力")</f>
        <v>未入力</v>
      </c>
      <c r="D43" s="48" t="str">
        <f aca="false">IFERROR(AVERAGEIFS($I$7:$I$36,$D$7:$D$36,$G43,$G$7:$G$36,"&gt;0"),"未入力")</f>
        <v>未入力</v>
      </c>
      <c r="E43" s="41" t="str">
        <f aca="false">IFERROR(SUMIFS($L$7:$L$36,$D$7:$D$36,$G43)/SUMIFS($G$7:$G$36,$D$7:$D$36,$G43),"未入力")</f>
        <v>未入力</v>
      </c>
      <c r="F43" s="47" t="n">
        <f aca="false">SUMIFS($N$7:$N$36,$D$7:$D$36,$G43)</f>
        <v>0</v>
      </c>
      <c r="G43" s="50" t="s">
        <v>240</v>
      </c>
    </row>
    <row r="44" customFormat="false" ht="15" hidden="false" customHeight="false" outlineLevel="0" collapsed="false">
      <c r="A44" s="47" t="s">
        <v>775</v>
      </c>
      <c r="B44" s="47" t="n">
        <f aca="false">COUNTIF($D$7:$D$36,$G44)</f>
        <v>5</v>
      </c>
      <c r="C44" s="42" t="str">
        <f aca="false">IFERROR(AVERAGEIFS($G$7:$G$36,$D$7:$D$36,$G44,$G$7:$G$36,"&gt;0"),"未入力")</f>
        <v>未入力</v>
      </c>
      <c r="D44" s="48" t="str">
        <f aca="false">IFERROR(AVERAGEIFS($I$7:$I$36,$D$7:$D$36,$G44,$G$7:$G$36,"&gt;0"),"未入力")</f>
        <v>未入力</v>
      </c>
      <c r="E44" s="41" t="str">
        <f aca="false">IFERROR(SUMIFS($L$7:$L$36,$D$7:$D$36,$G44)/SUMIFS($G$7:$G$36,$D$7:$D$36,$G44),"未入力")</f>
        <v>未入力</v>
      </c>
      <c r="F44" s="47" t="n">
        <f aca="false">SUMIFS($N$7:$N$36,$D$7:$D$36,$G44)</f>
        <v>0</v>
      </c>
      <c r="G44" s="50" t="s">
        <v>247</v>
      </c>
    </row>
    <row r="45" customFormat="false" ht="15" hidden="false" customHeight="false" outlineLevel="0" collapsed="false">
      <c r="A45" s="47" t="s">
        <v>776</v>
      </c>
      <c r="B45" s="47" t="n">
        <f aca="false">COUNTIF($D$7:$D$36,$G45)</f>
        <v>3</v>
      </c>
      <c r="C45" s="42" t="str">
        <f aca="false">IFERROR(AVERAGEIFS($G$7:$G$36,$D$7:$D$36,$G45,$G$7:$G$36,"&gt;0"),"未入力")</f>
        <v>未入力</v>
      </c>
      <c r="D45" s="48" t="str">
        <f aca="false">IFERROR(AVERAGEIFS($I$7:$I$36,$D$7:$D$36,$G45,$G$7:$G$36,"&gt;0"),"未入力")</f>
        <v>未入力</v>
      </c>
      <c r="E45" s="41" t="str">
        <f aca="false">IFERROR(SUMIFS($L$7:$L$36,$D$7:$D$36,$G45)/SUMIFS($G$7:$G$36,$D$7:$D$36,$G45),"未入力")</f>
        <v>未入力</v>
      </c>
      <c r="F45" s="47" t="n">
        <f aca="false">SUMIFS($N$7:$N$36,$D$7:$D$36,$G45)</f>
        <v>0</v>
      </c>
      <c r="G45" s="50" t="s">
        <v>254</v>
      </c>
    </row>
    <row r="46" customFormat="false" ht="15" hidden="false" customHeight="false" outlineLevel="0" collapsed="false">
      <c r="A46" s="47" t="s">
        <v>777</v>
      </c>
      <c r="B46" s="47" t="n">
        <f aca="false">COUNTIF($D$7:$D$36,$G46)</f>
        <v>8</v>
      </c>
      <c r="C46" s="42" t="str">
        <f aca="false">IFERROR(AVERAGEIFS($G$7:$G$36,$D$7:$D$36,$G46,$G$7:$G$36,"&gt;0"),"未入力")</f>
        <v>未入力</v>
      </c>
      <c r="D46" s="48" t="str">
        <f aca="false">IFERROR(AVERAGEIFS($I$7:$I$36,$D$7:$D$36,$G46,$G$7:$G$36,"&gt;0"),"未入力")</f>
        <v>未入力</v>
      </c>
      <c r="E46" s="41" t="str">
        <f aca="false">IFERROR(SUMIFS($L$7:$L$36,$D$7:$D$36,$G46)/SUMIFS($G$7:$G$36,$D$7:$D$36,$G46),"未入力")</f>
        <v>未入力</v>
      </c>
      <c r="F46" s="47" t="n">
        <f aca="false">SUMIFS($N$7:$N$36,$D$7:$D$36,$G46)</f>
        <v>0</v>
      </c>
      <c r="G46" s="50" t="s">
        <v>261</v>
      </c>
    </row>
    <row r="47" customFormat="false" ht="15" hidden="false" customHeight="false" outlineLevel="0" collapsed="false">
      <c r="A47" s="47" t="s">
        <v>778</v>
      </c>
      <c r="B47" s="47" t="n">
        <f aca="false">COUNTIF($D$7:$D$36,$G47)</f>
        <v>3</v>
      </c>
      <c r="C47" s="42" t="str">
        <f aca="false">IFERROR(AVERAGEIFS($G$7:$G$36,$D$7:$D$36,$G47,$G$7:$G$36,"&gt;0"),"未入力")</f>
        <v>未入力</v>
      </c>
      <c r="D47" s="48" t="str">
        <f aca="false">IFERROR(AVERAGEIFS($I$7:$I$36,$D$7:$D$36,$G47,$G$7:$G$36,"&gt;0"),"未入力")</f>
        <v>未入力</v>
      </c>
      <c r="E47" s="41" t="str">
        <f aca="false">IFERROR(SUMIFS($L$7:$L$36,$D$7:$D$36,$G47)/SUMIFS($G$7:$G$36,$D$7:$D$36,$G47),"未入力")</f>
        <v>未入力</v>
      </c>
      <c r="F47" s="47" t="n">
        <f aca="false">SUMIFS($N$7:$N$36,$D$7:$D$36,$G47)</f>
        <v>0</v>
      </c>
      <c r="G47" s="50" t="s">
        <v>268</v>
      </c>
    </row>
    <row r="48" customFormat="false" ht="15" hidden="false" customHeight="false" outlineLevel="0" collapsed="false">
      <c r="A48" s="47" t="s">
        <v>779</v>
      </c>
      <c r="B48" s="47" t="n">
        <f aca="false">COUNTIF($D$7:$D$36,$G48)</f>
        <v>1</v>
      </c>
      <c r="C48" s="42" t="str">
        <f aca="false">IFERROR(AVERAGEIFS($G$7:$G$36,$D$7:$D$36,$G48,$G$7:$G$36,"&gt;0"),"未入力")</f>
        <v>未入力</v>
      </c>
      <c r="D48" s="48" t="str">
        <f aca="false">IFERROR(AVERAGEIFS($I$7:$I$36,$D$7:$D$36,$G48,$G$7:$G$36,"&gt;0"),"未入力")</f>
        <v>未入力</v>
      </c>
      <c r="E48" s="41" t="str">
        <f aca="false">IFERROR(SUMIFS($L$7:$L$36,$D$7:$D$36,$G48)/SUMIFS($G$7:$G$36,$D$7:$D$36,$G48),"未入力")</f>
        <v>未入力</v>
      </c>
      <c r="F48" s="47" t="n">
        <f aca="false">SUMIFS($N$7:$N$36,$D$7:$D$36,$G48)</f>
        <v>0</v>
      </c>
      <c r="G48" s="50" t="s">
        <v>275</v>
      </c>
    </row>
    <row r="49" customFormat="false" ht="15" hidden="false" customHeight="false" outlineLevel="0" collapsed="false">
      <c r="A49" s="47" t="s">
        <v>780</v>
      </c>
      <c r="B49" s="47" t="n">
        <f aca="false">COUNTIF($D$7:$D$36,$G49)</f>
        <v>2</v>
      </c>
      <c r="C49" s="42" t="str">
        <f aca="false">IFERROR(AVERAGEIFS($G$7:$G$36,$D$7:$D$36,$G49,$G$7:$G$36,"&gt;0"),"未入力")</f>
        <v>未入力</v>
      </c>
      <c r="D49" s="48" t="str">
        <f aca="false">IFERROR(AVERAGEIFS($I$7:$I$36,$D$7:$D$36,$G49,$G$7:$G$36,"&gt;0"),"未入力")</f>
        <v>未入力</v>
      </c>
      <c r="E49" s="41" t="str">
        <f aca="false">IFERROR(SUMIFS($L$7:$L$36,$D$7:$D$36,$G49)/SUMIFS($G$7:$G$36,$D$7:$D$36,$G49),"未入力")</f>
        <v>未入力</v>
      </c>
      <c r="F49" s="47" t="n">
        <f aca="false">SUMIFS($N$7:$N$36,$D$7:$D$36,$G49)</f>
        <v>0</v>
      </c>
      <c r="G49" s="50" t="s">
        <v>282</v>
      </c>
    </row>
    <row r="51" customFormat="false" ht="15" hidden="false" customHeight="false" outlineLevel="0" collapsed="false">
      <c r="A51" s="51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2026-10-10T05:46:32Z</dcterms:created>
  <dc:creator>openpyxl</dc:creator>
  <dc:description/>
  <dc:language>en-US</dc:language>
  <cp:lastModifiedBy/>
  <dcterms:modified xsi:type="dcterms:W3CDTF">2026-10-10T05:46:33Z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